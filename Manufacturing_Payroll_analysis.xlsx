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 SINDY\C&amp;B\"/>
    </mc:Choice>
  </mc:AlternateContent>
  <xr:revisionPtr revIDLastSave="0" documentId="13_ncr:1_{3827F4E2-F433-4A9D-9CA9-BD3604A260C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_Overview" sheetId="9" r:id="rId1"/>
    <sheet name="Employee_Master" sheetId="2" r:id="rId2"/>
    <sheet name="Attendance" sheetId="3" r:id="rId3"/>
    <sheet name="Payroll" sheetId="4" r:id="rId4"/>
    <sheet name="Department_Summary" sheetId="6" r:id="rId5"/>
  </sheets>
  <calcPr calcId="191029"/>
</workbook>
</file>

<file path=xl/calcChain.xml><?xml version="1.0" encoding="utf-8"?>
<calcChain xmlns="http://schemas.openxmlformats.org/spreadsheetml/2006/main">
  <c r="B4" i="6" l="1"/>
  <c r="H5" i="6"/>
  <c r="H6" i="6"/>
  <c r="H7" i="6"/>
  <c r="H8" i="6"/>
  <c r="H9" i="6"/>
  <c r="H4" i="6"/>
  <c r="G5" i="6"/>
  <c r="G6" i="6"/>
  <c r="G7" i="6"/>
  <c r="G8" i="6"/>
  <c r="G9" i="6"/>
  <c r="G4" i="6"/>
  <c r="F5" i="6"/>
  <c r="F6" i="6"/>
  <c r="F7" i="6"/>
  <c r="F8" i="6"/>
  <c r="F9" i="6"/>
  <c r="F4" i="6"/>
  <c r="E5" i="6"/>
  <c r="E6" i="6"/>
  <c r="E7" i="6"/>
  <c r="E8" i="6"/>
  <c r="E9" i="6"/>
  <c r="E4" i="6"/>
  <c r="D5" i="6"/>
  <c r="D6" i="6"/>
  <c r="D7" i="6"/>
  <c r="D8" i="6"/>
  <c r="D9" i="6"/>
  <c r="D4" i="6"/>
  <c r="C5" i="6"/>
  <c r="C6" i="6"/>
  <c r="C7" i="6"/>
  <c r="C8" i="6"/>
  <c r="C9" i="6"/>
  <c r="C4" i="6"/>
  <c r="B5" i="6"/>
  <c r="B6" i="6"/>
  <c r="B7" i="6"/>
  <c r="B8" i="6"/>
  <c r="B9" i="6"/>
  <c r="B5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" i="4"/>
  <c r="K6" i="4"/>
  <c r="K7" i="4"/>
  <c r="K8" i="4"/>
  <c r="K9" i="4"/>
  <c r="K10" i="4"/>
  <c r="K11" i="4"/>
  <c r="K12" i="4"/>
  <c r="K13" i="4"/>
  <c r="K14" i="4"/>
  <c r="M14" i="4" s="1"/>
  <c r="K15" i="4"/>
  <c r="M15" i="4" s="1"/>
  <c r="K16" i="4"/>
  <c r="M16" i="4" s="1"/>
  <c r="K17" i="4"/>
  <c r="M17" i="4" s="1"/>
  <c r="K18" i="4"/>
  <c r="K19" i="4"/>
  <c r="K20" i="4"/>
  <c r="K21" i="4"/>
  <c r="K22" i="4"/>
  <c r="K23" i="4"/>
  <c r="K24" i="4"/>
  <c r="K25" i="4"/>
  <c r="K26" i="4"/>
  <c r="K27" i="4"/>
  <c r="M27" i="4" s="1"/>
  <c r="K28" i="4"/>
  <c r="M28" i="4" s="1"/>
  <c r="K29" i="4"/>
  <c r="M29" i="4" s="1"/>
  <c r="K30" i="4"/>
  <c r="K31" i="4"/>
  <c r="K32" i="4"/>
  <c r="K33" i="4"/>
  <c r="K34" i="4"/>
  <c r="K35" i="4"/>
  <c r="K36" i="4"/>
  <c r="K37" i="4"/>
  <c r="K38" i="4"/>
  <c r="K39" i="4"/>
  <c r="M39" i="4" s="1"/>
  <c r="K40" i="4"/>
  <c r="M40" i="4" s="1"/>
  <c r="K41" i="4"/>
  <c r="M41" i="4" s="1"/>
  <c r="K42" i="4"/>
  <c r="K43" i="4"/>
  <c r="K44" i="4"/>
  <c r="K45" i="4"/>
  <c r="K46" i="4"/>
  <c r="K47" i="4"/>
  <c r="K48" i="4"/>
  <c r="K49" i="4"/>
  <c r="K50" i="4"/>
  <c r="K51" i="4"/>
  <c r="M51" i="4" s="1"/>
  <c r="K52" i="4"/>
  <c r="M52" i="4" s="1"/>
  <c r="K53" i="4"/>
  <c r="M53" i="4" s="1"/>
  <c r="K54" i="4"/>
  <c r="K5" i="4"/>
  <c r="M5" i="4" s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" i="4"/>
  <c r="M6" i="4"/>
  <c r="M7" i="4"/>
  <c r="M8" i="4"/>
  <c r="M9" i="4"/>
  <c r="M10" i="4"/>
  <c r="M11" i="4"/>
  <c r="M12" i="4"/>
  <c r="M13" i="4"/>
  <c r="M18" i="4"/>
  <c r="M19" i="4"/>
  <c r="M20" i="4"/>
  <c r="M21" i="4"/>
  <c r="M22" i="4"/>
  <c r="M23" i="4"/>
  <c r="M24" i="4"/>
  <c r="M25" i="4"/>
  <c r="M26" i="4"/>
  <c r="M30" i="4"/>
  <c r="M31" i="4"/>
  <c r="M32" i="4"/>
  <c r="M33" i="4"/>
  <c r="M34" i="4"/>
  <c r="M35" i="4"/>
  <c r="M36" i="4"/>
  <c r="M37" i="4"/>
  <c r="M38" i="4"/>
  <c r="M42" i="4"/>
  <c r="M43" i="4"/>
  <c r="M44" i="4"/>
  <c r="M45" i="4"/>
  <c r="M46" i="4"/>
  <c r="M47" i="4"/>
  <c r="M48" i="4"/>
  <c r="M49" i="4"/>
  <c r="M50" i="4"/>
  <c r="M54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" i="4"/>
  <c r="H6" i="4"/>
  <c r="H7" i="4"/>
  <c r="H8" i="4"/>
  <c r="H9" i="4"/>
  <c r="H10" i="4"/>
  <c r="H11" i="4"/>
  <c r="H12" i="4"/>
  <c r="H13" i="4"/>
  <c r="H14" i="4"/>
  <c r="H15" i="4"/>
  <c r="H16" i="4"/>
  <c r="I16" i="4" s="1"/>
  <c r="H17" i="4"/>
  <c r="I17" i="4" s="1"/>
  <c r="H18" i="4"/>
  <c r="H19" i="4"/>
  <c r="H20" i="4"/>
  <c r="H21" i="4"/>
  <c r="H22" i="4"/>
  <c r="H23" i="4"/>
  <c r="H24" i="4"/>
  <c r="H25" i="4"/>
  <c r="H26" i="4"/>
  <c r="H27" i="4"/>
  <c r="H28" i="4"/>
  <c r="I28" i="4" s="1"/>
  <c r="H29" i="4"/>
  <c r="I29" i="4" s="1"/>
  <c r="H30" i="4"/>
  <c r="H31" i="4"/>
  <c r="H32" i="4"/>
  <c r="H33" i="4"/>
  <c r="H34" i="4"/>
  <c r="H35" i="4"/>
  <c r="H36" i="4"/>
  <c r="I36" i="4" s="1"/>
  <c r="H37" i="4"/>
  <c r="H38" i="4"/>
  <c r="I38" i="4" s="1"/>
  <c r="H39" i="4"/>
  <c r="H40" i="4"/>
  <c r="I40" i="4" s="1"/>
  <c r="H41" i="4"/>
  <c r="I41" i="4" s="1"/>
  <c r="H42" i="4"/>
  <c r="H43" i="4"/>
  <c r="H44" i="4"/>
  <c r="H45" i="4"/>
  <c r="H46" i="4"/>
  <c r="H47" i="4"/>
  <c r="H48" i="4"/>
  <c r="I48" i="4" s="1"/>
  <c r="H49" i="4"/>
  <c r="I49" i="4" s="1"/>
  <c r="H50" i="4"/>
  <c r="I50" i="4" s="1"/>
  <c r="H51" i="4"/>
  <c r="H52" i="4"/>
  <c r="I52" i="4" s="1"/>
  <c r="H53" i="4"/>
  <c r="I53" i="4" s="1"/>
  <c r="H54" i="4"/>
  <c r="H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" i="4"/>
  <c r="I6" i="4"/>
  <c r="I7" i="4"/>
  <c r="I8" i="4"/>
  <c r="I9" i="4"/>
  <c r="I10" i="4"/>
  <c r="I11" i="4"/>
  <c r="I12" i="4"/>
  <c r="I13" i="4"/>
  <c r="I14" i="4"/>
  <c r="I15" i="4"/>
  <c r="I18" i="4"/>
  <c r="I19" i="4"/>
  <c r="I20" i="4"/>
  <c r="I21" i="4"/>
  <c r="I22" i="4"/>
  <c r="I23" i="4"/>
  <c r="I24" i="4"/>
  <c r="I25" i="4"/>
  <c r="I26" i="4"/>
  <c r="I27" i="4"/>
  <c r="I30" i="4"/>
  <c r="I31" i="4"/>
  <c r="I32" i="4"/>
  <c r="I33" i="4"/>
  <c r="I34" i="4"/>
  <c r="I35" i="4"/>
  <c r="I37" i="4"/>
  <c r="I39" i="4"/>
  <c r="I42" i="4"/>
  <c r="I43" i="4"/>
  <c r="I44" i="4"/>
  <c r="I45" i="4"/>
  <c r="I46" i="4"/>
  <c r="I47" i="4"/>
  <c r="I51" i="4"/>
  <c r="I54" i="4"/>
  <c r="G7" i="4"/>
  <c r="G6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" i="4"/>
  <c r="I5" i="4" s="1"/>
  <c r="B7" i="4"/>
  <c r="B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" i="4"/>
</calcChain>
</file>

<file path=xl/sharedStrings.xml><?xml version="1.0" encoding="utf-8"?>
<sst xmlns="http://schemas.openxmlformats.org/spreadsheetml/2006/main" count="465" uniqueCount="164">
  <si>
    <t>EMPLOYEE MASTER — DUMMY DATA</t>
  </si>
  <si>
    <t>Employee ID</t>
  </si>
  <si>
    <t>Employee Name</t>
  </si>
  <si>
    <t>Department</t>
  </si>
  <si>
    <t>Position</t>
  </si>
  <si>
    <t>Grade</t>
  </si>
  <si>
    <t>Status</t>
  </si>
  <si>
    <t>Basic Salary</t>
  </si>
  <si>
    <t>Fixed Allowance</t>
  </si>
  <si>
    <t>OT Rate / Hour</t>
  </si>
  <si>
    <t>E001</t>
  </si>
  <si>
    <t>Andi Pratama</t>
  </si>
  <si>
    <t>Production</t>
  </si>
  <si>
    <t>Operator</t>
  </si>
  <si>
    <t>G1</t>
  </si>
  <si>
    <t>Active</t>
  </si>
  <si>
    <t>E002</t>
  </si>
  <si>
    <t>Rina Putri</t>
  </si>
  <si>
    <t>Quality Control</t>
  </si>
  <si>
    <t>QC Staff</t>
  </si>
  <si>
    <t>G2</t>
  </si>
  <si>
    <t>E003</t>
  </si>
  <si>
    <t>Budi Santoso</t>
  </si>
  <si>
    <t>Warehouse</t>
  </si>
  <si>
    <t>Warehouse Staff</t>
  </si>
  <si>
    <t>E004</t>
  </si>
  <si>
    <t>Sari Wulandari</t>
  </si>
  <si>
    <t>Engineering</t>
  </si>
  <si>
    <t>Technician</t>
  </si>
  <si>
    <t>E005</t>
  </si>
  <si>
    <t>Dimas Saputra</t>
  </si>
  <si>
    <t>Finance</t>
  </si>
  <si>
    <t>Finance Staff</t>
  </si>
  <si>
    <t>E006</t>
  </si>
  <si>
    <t>Nadia Lestari</t>
  </si>
  <si>
    <t>HR</t>
  </si>
  <si>
    <t>HR Staff</t>
  </si>
  <si>
    <t>E007</t>
  </si>
  <si>
    <t>Fajar Nugroho</t>
  </si>
  <si>
    <t>E008</t>
  </si>
  <si>
    <t>Maya Anggraini</t>
  </si>
  <si>
    <t>E009</t>
  </si>
  <si>
    <t>Rizky Maulana</t>
  </si>
  <si>
    <t>E010</t>
  </si>
  <si>
    <t>Dewi Kartika</t>
  </si>
  <si>
    <t>E011</t>
  </si>
  <si>
    <t>Arif Hidayat</t>
  </si>
  <si>
    <t>E012</t>
  </si>
  <si>
    <t>Lina Marlina</t>
  </si>
  <si>
    <t>E013</t>
  </si>
  <si>
    <t>Bayu Ramadhan</t>
  </si>
  <si>
    <t>E014</t>
  </si>
  <si>
    <t>Nisa Rahma</t>
  </si>
  <si>
    <t>E015</t>
  </si>
  <si>
    <t>Yoga Prabowo</t>
  </si>
  <si>
    <t>E016</t>
  </si>
  <si>
    <t>Tika Permata</t>
  </si>
  <si>
    <t>E017</t>
  </si>
  <si>
    <t>Reza Kurniawan</t>
  </si>
  <si>
    <t>Resigned</t>
  </si>
  <si>
    <t>E018</t>
  </si>
  <si>
    <t>Ayu Safitri</t>
  </si>
  <si>
    <t>E019</t>
  </si>
  <si>
    <t>Ilham Akbar</t>
  </si>
  <si>
    <t>E020</t>
  </si>
  <si>
    <t>Citra Maharani</t>
  </si>
  <si>
    <t>E021</t>
  </si>
  <si>
    <t>Rian Setiawan</t>
  </si>
  <si>
    <t>E022</t>
  </si>
  <si>
    <t>Putri Amelia</t>
  </si>
  <si>
    <t>E023</t>
  </si>
  <si>
    <t>Doni Firmansyah</t>
  </si>
  <si>
    <t>E024</t>
  </si>
  <si>
    <t>Intan Puspita</t>
  </si>
  <si>
    <t>E025</t>
  </si>
  <si>
    <t>Eko Prasetyo</t>
  </si>
  <si>
    <t>E026</t>
  </si>
  <si>
    <t>Vina Oktavia</t>
  </si>
  <si>
    <t>E027</t>
  </si>
  <si>
    <t>Hendra Wijaya</t>
  </si>
  <si>
    <t>E028</t>
  </si>
  <si>
    <t>Desi Natalia</t>
  </si>
  <si>
    <t>E029</t>
  </si>
  <si>
    <t>Agus Salim</t>
  </si>
  <si>
    <t>E030</t>
  </si>
  <si>
    <t>Mira Handayani</t>
  </si>
  <si>
    <t>E031</t>
  </si>
  <si>
    <t>Wahyu Saputro</t>
  </si>
  <si>
    <t>E032</t>
  </si>
  <si>
    <t>Sinta Dewi</t>
  </si>
  <si>
    <t>E033</t>
  </si>
  <si>
    <t>Rudi Hartono</t>
  </si>
  <si>
    <t>E034</t>
  </si>
  <si>
    <t>Nina Kurnia</t>
  </si>
  <si>
    <t>E035</t>
  </si>
  <si>
    <t>Yusuf Maulana</t>
  </si>
  <si>
    <t>E036</t>
  </si>
  <si>
    <t>Fitriani Putri</t>
  </si>
  <si>
    <t>E037</t>
  </si>
  <si>
    <t>Aldi Firmansyah</t>
  </si>
  <si>
    <t>E038</t>
  </si>
  <si>
    <t>Rara Amelia</t>
  </si>
  <si>
    <t>E039</t>
  </si>
  <si>
    <t>Galih Pratama</t>
  </si>
  <si>
    <t>E040</t>
  </si>
  <si>
    <t>Lusi Anggraeni</t>
  </si>
  <si>
    <t>E041</t>
  </si>
  <si>
    <t>Taufik Hidayat</t>
  </si>
  <si>
    <t>E042</t>
  </si>
  <si>
    <t>Dinda Larasati</t>
  </si>
  <si>
    <t>E043</t>
  </si>
  <si>
    <t>Rama Kurnia</t>
  </si>
  <si>
    <t>E044</t>
  </si>
  <si>
    <t>Anisa Putri</t>
  </si>
  <si>
    <t>E045</t>
  </si>
  <si>
    <t>Dedi Irawan</t>
  </si>
  <si>
    <t>E046</t>
  </si>
  <si>
    <t>Yuni Kartika</t>
  </si>
  <si>
    <t>E047</t>
  </si>
  <si>
    <t>Farhan Akbar</t>
  </si>
  <si>
    <t>E048</t>
  </si>
  <si>
    <t>Mega Sari</t>
  </si>
  <si>
    <t>E049</t>
  </si>
  <si>
    <t>Ari Nugraha</t>
  </si>
  <si>
    <t>E050</t>
  </si>
  <si>
    <t>Selvi Rahma</t>
  </si>
  <si>
    <t>ATTENDANCE &amp; OVERTIME — DUMMY DATA</t>
  </si>
  <si>
    <t>Work Days</t>
  </si>
  <si>
    <t>Present Days</t>
  </si>
  <si>
    <t>Absent Days</t>
  </si>
  <si>
    <t>Late Days</t>
  </si>
  <si>
    <t>Approved OT Hours</t>
  </si>
  <si>
    <t>Other Deduction</t>
  </si>
  <si>
    <t>Note</t>
  </si>
  <si>
    <t>High OT — verify</t>
  </si>
  <si>
    <t>Resigned employee — verify</t>
  </si>
  <si>
    <t>OT Rate</t>
  </si>
  <si>
    <t>OT Pay</t>
  </si>
  <si>
    <t>Attendance Allowance</t>
  </si>
  <si>
    <t>Gross Pay</t>
  </si>
  <si>
    <t>Net Pay</t>
  </si>
  <si>
    <t>Exception Check</t>
  </si>
  <si>
    <t>Manager Comment</t>
  </si>
  <si>
    <t>DEPARTMENT SUMMARY — MANAGEMENT VIEW</t>
  </si>
  <si>
    <t>Headcount</t>
  </si>
  <si>
    <t>Total Basic Salary</t>
  </si>
  <si>
    <t>Total OT Hours</t>
  </si>
  <si>
    <t>Total OT Pay</t>
  </si>
  <si>
    <t>Total Gross Pay</t>
  </si>
  <si>
    <t>Total Net Pay</t>
  </si>
  <si>
    <t>Exception Count</t>
  </si>
  <si>
    <t>Manufacturing Payroll Analysis</t>
  </si>
  <si>
    <r>
      <t>Objective:</t>
    </r>
    <r>
      <rPr>
        <sz val="11"/>
        <rFont val="Carlito"/>
      </rPr>
      <t xml:space="preserve"> </t>
    </r>
  </si>
  <si>
    <t>Simulate a basic payroll process using fictional employee data.</t>
  </si>
  <si>
    <r>
      <t>Tools Used:</t>
    </r>
    <r>
      <rPr>
        <sz val="11"/>
        <rFont val="Carlito"/>
      </rPr>
      <t xml:space="preserve"> </t>
    </r>
  </si>
  <si>
    <t>Microsoft Excel</t>
  </si>
  <si>
    <r>
      <t>Functions Used:</t>
    </r>
    <r>
      <rPr>
        <sz val="11"/>
        <rFont val="Carlito"/>
      </rPr>
      <t xml:space="preserve"> </t>
    </r>
  </si>
  <si>
    <t>VLOOKUP, IF, IFERROR, SUMIFS, COUNTIFS</t>
  </si>
  <si>
    <r>
      <t>Key Analysis:</t>
    </r>
    <r>
      <rPr>
        <sz val="11"/>
        <rFont val="Carlito"/>
      </rPr>
      <t xml:space="preserve"> </t>
    </r>
  </si>
  <si>
    <t>Payroll calculation, department summary, overtime review, payroll exception checking</t>
  </si>
  <si>
    <r>
      <t>Disclaimer:</t>
    </r>
    <r>
      <rPr>
        <sz val="11"/>
        <rFont val="Carlito"/>
      </rPr>
      <t xml:space="preserve"> </t>
    </r>
  </si>
  <si>
    <t>All employee data and payroll rules in this project are fictional and used only for learning purposes.</t>
  </si>
  <si>
    <r>
      <t>Project Title:</t>
    </r>
    <r>
      <rPr>
        <sz val="20"/>
        <rFont val="Carlito"/>
      </rPr>
      <t xml:space="preserve"> </t>
    </r>
  </si>
  <si>
    <t>PAYROLL CALCULATION &amp;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</si>
</sst>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name val="Carlito"/>
    </font>
    <font>
      <sz val="20"/>
      <name val="Carlito"/>
    </font>
    <font>
      <b/>
      <sz val="20"/>
      <name val="Carlito"/>
      <charset val="1"/>
    </font>
    <font>
      <b/>
      <sz val="2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3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3" fontId="0" fillId="0" borderId="0" xfId="0" applyNumberFormat="1" applyFill="1" applyAlignment="1">
      <alignment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Payroll Cost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Headcount</c:v>
          </c:tx>
          <c:invertIfNegative val="1"/>
          <c:cat>
            <c:strRef>
              <c:f>Department_Summary!$A$4:$A$9</c:f>
              <c:strCache>
                <c:ptCount val="6"/>
                <c:pt idx="0">
                  <c:v>Production</c:v>
                </c:pt>
                <c:pt idx="1">
                  <c:v>Quality Control</c:v>
                </c:pt>
                <c:pt idx="2">
                  <c:v>Warehouse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</c:strCache>
            </c:strRef>
          </c:cat>
          <c:val>
            <c:numRef>
              <c:f>Department_Summary!$B$4:$B$9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1-43EE-992B-6C147FEE19A5}"/>
            </c:ext>
          </c:extLst>
        </c:ser>
        <c:ser>
          <c:idx val="1"/>
          <c:order val="1"/>
          <c:tx>
            <c:v>Total Basic Salary</c:v>
          </c:tx>
          <c:invertIfNegative val="1"/>
          <c:cat>
            <c:strRef>
              <c:f>Department_Summary!$A$4:$A$9</c:f>
              <c:strCache>
                <c:ptCount val="6"/>
                <c:pt idx="0">
                  <c:v>Production</c:v>
                </c:pt>
                <c:pt idx="1">
                  <c:v>Quality Control</c:v>
                </c:pt>
                <c:pt idx="2">
                  <c:v>Warehouse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</c:strCache>
            </c:strRef>
          </c:cat>
          <c:val>
            <c:numRef>
              <c:f>Department_Summary!$C$4:$C$9</c:f>
              <c:numCache>
                <c:formatCode>#,##0</c:formatCode>
                <c:ptCount val="6"/>
                <c:pt idx="0">
                  <c:v>48800000</c:v>
                </c:pt>
                <c:pt idx="1">
                  <c:v>55000000</c:v>
                </c:pt>
                <c:pt idx="2">
                  <c:v>44100000</c:v>
                </c:pt>
                <c:pt idx="3">
                  <c:v>51100000</c:v>
                </c:pt>
                <c:pt idx="4">
                  <c:v>50100000</c:v>
                </c:pt>
                <c:pt idx="5">
                  <c:v>49600000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1-43EE-992B-6C147FEE19A5}"/>
            </c:ext>
          </c:extLst>
        </c:ser>
        <c:ser>
          <c:idx val="2"/>
          <c:order val="2"/>
          <c:tx>
            <c:v>Total OT Hours</c:v>
          </c:tx>
          <c:invertIfNegative val="1"/>
          <c:cat>
            <c:strRef>
              <c:f>Department_Summary!$A$4:$A$9</c:f>
              <c:strCache>
                <c:ptCount val="6"/>
                <c:pt idx="0">
                  <c:v>Production</c:v>
                </c:pt>
                <c:pt idx="1">
                  <c:v>Quality Control</c:v>
                </c:pt>
                <c:pt idx="2">
                  <c:v>Warehouse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</c:strCache>
            </c:strRef>
          </c:cat>
          <c:val>
            <c:numRef>
              <c:f>Department_Summary!$D$4:$D$9</c:f>
              <c:numCache>
                <c:formatCode>#,##0</c:formatCode>
                <c:ptCount val="6"/>
                <c:pt idx="0">
                  <c:v>115</c:v>
                </c:pt>
                <c:pt idx="1">
                  <c:v>115</c:v>
                </c:pt>
                <c:pt idx="2">
                  <c:v>108</c:v>
                </c:pt>
                <c:pt idx="3">
                  <c:v>108</c:v>
                </c:pt>
                <c:pt idx="4">
                  <c:v>108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1-43EE-992B-6C147FEE19A5}"/>
            </c:ext>
          </c:extLst>
        </c:ser>
        <c:ser>
          <c:idx val="3"/>
          <c:order val="3"/>
          <c:tx>
            <c:v>Total OT Pay</c:v>
          </c:tx>
          <c:invertIfNegative val="1"/>
          <c:cat>
            <c:strRef>
              <c:f>Department_Summary!$A$4:$A$9</c:f>
              <c:strCache>
                <c:ptCount val="6"/>
                <c:pt idx="0">
                  <c:v>Production</c:v>
                </c:pt>
                <c:pt idx="1">
                  <c:v>Quality Control</c:v>
                </c:pt>
                <c:pt idx="2">
                  <c:v>Warehouse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</c:strCache>
            </c:strRef>
          </c:cat>
          <c:val>
            <c:numRef>
              <c:f>Department_Summary!$E$4:$E$9</c:f>
              <c:numCache>
                <c:formatCode>#,##0</c:formatCode>
                <c:ptCount val="6"/>
                <c:pt idx="0">
                  <c:v>5175000</c:v>
                </c:pt>
                <c:pt idx="1">
                  <c:v>7750000</c:v>
                </c:pt>
                <c:pt idx="2">
                  <c:v>5760000</c:v>
                </c:pt>
                <c:pt idx="3">
                  <c:v>4840000</c:v>
                </c:pt>
                <c:pt idx="4">
                  <c:v>4600000</c:v>
                </c:pt>
                <c:pt idx="5">
                  <c:v>5800000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1-43EE-992B-6C147FEE19A5}"/>
            </c:ext>
          </c:extLst>
        </c:ser>
        <c:ser>
          <c:idx val="4"/>
          <c:order val="4"/>
          <c:tx>
            <c:v>Total Gross Pay</c:v>
          </c:tx>
          <c:invertIfNegative val="1"/>
          <c:cat>
            <c:strRef>
              <c:f>Department_Summary!$A$4:$A$9</c:f>
              <c:strCache>
                <c:ptCount val="6"/>
                <c:pt idx="0">
                  <c:v>Production</c:v>
                </c:pt>
                <c:pt idx="1">
                  <c:v>Quality Control</c:v>
                </c:pt>
                <c:pt idx="2">
                  <c:v>Warehouse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</c:strCache>
            </c:strRef>
          </c:cat>
          <c:val>
            <c:numRef>
              <c:f>Department_Summary!$F$4:$F$9</c:f>
              <c:numCache>
                <c:formatCode>#,##0</c:formatCode>
                <c:ptCount val="6"/>
                <c:pt idx="0">
                  <c:v>59375000</c:v>
                </c:pt>
                <c:pt idx="1">
                  <c:v>68050000</c:v>
                </c:pt>
                <c:pt idx="2">
                  <c:v>54660000</c:v>
                </c:pt>
                <c:pt idx="3">
                  <c:v>60940000</c:v>
                </c:pt>
                <c:pt idx="4">
                  <c:v>60050000</c:v>
                </c:pt>
                <c:pt idx="5">
                  <c:v>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71-43EE-992B-6C147FEE19A5}"/>
            </c:ext>
          </c:extLst>
        </c:ser>
        <c:ser>
          <c:idx val="5"/>
          <c:order val="5"/>
          <c:tx>
            <c:v>Total Net Pay</c:v>
          </c:tx>
          <c:invertIfNegative val="1"/>
          <c:cat>
            <c:strRef>
              <c:f>Department_Summary!$A$4:$A$9</c:f>
              <c:strCache>
                <c:ptCount val="6"/>
                <c:pt idx="0">
                  <c:v>Production</c:v>
                </c:pt>
                <c:pt idx="1">
                  <c:v>Quality Control</c:v>
                </c:pt>
                <c:pt idx="2">
                  <c:v>Warehouse</c:v>
                </c:pt>
                <c:pt idx="3">
                  <c:v>Engineering</c:v>
                </c:pt>
                <c:pt idx="4">
                  <c:v>Finance</c:v>
                </c:pt>
                <c:pt idx="5">
                  <c:v>HR</c:v>
                </c:pt>
              </c:strCache>
            </c:strRef>
          </c:cat>
          <c:val>
            <c:numRef>
              <c:f>Department_Summary!$G$4:$G$9</c:f>
              <c:numCache>
                <c:formatCode>#,##0</c:formatCode>
                <c:ptCount val="6"/>
                <c:pt idx="0">
                  <c:v>58950000</c:v>
                </c:pt>
                <c:pt idx="1">
                  <c:v>67400000</c:v>
                </c:pt>
                <c:pt idx="2">
                  <c:v>54260000</c:v>
                </c:pt>
                <c:pt idx="3">
                  <c:v>60340000</c:v>
                </c:pt>
                <c:pt idx="4">
                  <c:v>59450000</c:v>
                </c:pt>
                <c:pt idx="5">
                  <c:v>59300000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71-43EE-992B-6C147FEE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BCB8-562E-4B6C-B892-FDDB526FFC5B}">
  <dimension ref="A4:B9"/>
  <sheetViews>
    <sheetView workbookViewId="0">
      <selection activeCell="B14" sqref="B14"/>
    </sheetView>
  </sheetViews>
  <sheetFormatPr defaultRowHeight="13.8"/>
  <cols>
    <col min="1" max="1" width="22.8984375" bestFit="1" customWidth="1"/>
    <col min="2" max="2" width="80.796875" bestFit="1" customWidth="1"/>
  </cols>
  <sheetData>
    <row r="4" spans="1:2" ht="24.6">
      <c r="A4" s="9" t="s">
        <v>162</v>
      </c>
      <c r="B4" s="8" t="s">
        <v>151</v>
      </c>
    </row>
    <row r="5" spans="1:2">
      <c r="A5" s="7" t="s">
        <v>152</v>
      </c>
      <c r="B5" t="s">
        <v>153</v>
      </c>
    </row>
    <row r="6" spans="1:2">
      <c r="A6" s="7" t="s">
        <v>154</v>
      </c>
      <c r="B6" t="s">
        <v>155</v>
      </c>
    </row>
    <row r="7" spans="1:2">
      <c r="A7" s="7" t="s">
        <v>156</v>
      </c>
      <c r="B7" t="s">
        <v>157</v>
      </c>
    </row>
    <row r="8" spans="1:2">
      <c r="A8" s="7" t="s">
        <v>158</v>
      </c>
      <c r="B8" t="s">
        <v>159</v>
      </c>
    </row>
    <row r="9" spans="1:2">
      <c r="A9" s="7" t="s">
        <v>160</v>
      </c>
      <c r="B9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60" zoomScaleNormal="60" workbookViewId="0">
      <selection activeCell="A3" sqref="A3"/>
    </sheetView>
  </sheetViews>
  <sheetFormatPr defaultRowHeight="13.8"/>
  <cols>
    <col min="1" max="1" width="12" customWidth="1"/>
    <col min="2" max="2" width="24" customWidth="1"/>
    <col min="3" max="4" width="20" customWidth="1"/>
    <col min="5" max="5" width="9" customWidth="1"/>
    <col min="6" max="6" width="12" customWidth="1"/>
    <col min="7" max="9" width="16" customWidth="1"/>
  </cols>
  <sheetData>
    <row r="1" spans="1:9" ht="19.2">
      <c r="A1" s="6" t="s">
        <v>0</v>
      </c>
      <c r="B1" s="6"/>
      <c r="C1" s="6"/>
      <c r="D1" s="6"/>
      <c r="E1" s="6"/>
      <c r="F1" s="6"/>
      <c r="G1" s="6"/>
      <c r="H1" s="6"/>
      <c r="I1" s="6"/>
    </row>
    <row r="3" spans="1:9" ht="27.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4">
        <v>5300000</v>
      </c>
      <c r="H4" s="4">
        <v>350000</v>
      </c>
      <c r="I4" s="4">
        <v>45000</v>
      </c>
    </row>
    <row r="5" spans="1:9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15</v>
      </c>
      <c r="G5" s="4">
        <v>6100000</v>
      </c>
      <c r="H5" s="4">
        <v>450000</v>
      </c>
      <c r="I5" s="4">
        <v>50000</v>
      </c>
    </row>
    <row r="6" spans="1:9">
      <c r="A6" s="2" t="s">
        <v>21</v>
      </c>
      <c r="B6" s="2" t="s">
        <v>22</v>
      </c>
      <c r="C6" s="2" t="s">
        <v>23</v>
      </c>
      <c r="D6" s="2" t="s">
        <v>24</v>
      </c>
      <c r="E6" s="2" t="s">
        <v>14</v>
      </c>
      <c r="F6" s="2" t="s">
        <v>15</v>
      </c>
      <c r="G6" s="4">
        <v>5600000</v>
      </c>
      <c r="H6" s="4">
        <v>350000</v>
      </c>
      <c r="I6" s="4">
        <v>45000</v>
      </c>
    </row>
    <row r="7" spans="1:9">
      <c r="A7" s="2" t="s">
        <v>25</v>
      </c>
      <c r="B7" s="2" t="s">
        <v>26</v>
      </c>
      <c r="C7" s="2" t="s">
        <v>27</v>
      </c>
      <c r="D7" s="2" t="s">
        <v>28</v>
      </c>
      <c r="E7" s="2" t="s">
        <v>20</v>
      </c>
      <c r="F7" s="2" t="s">
        <v>15</v>
      </c>
      <c r="G7" s="4">
        <v>6600000</v>
      </c>
      <c r="H7" s="4">
        <v>500000</v>
      </c>
      <c r="I7" s="4">
        <v>55000</v>
      </c>
    </row>
    <row r="8" spans="1:9">
      <c r="A8" s="2" t="s">
        <v>29</v>
      </c>
      <c r="B8" s="2" t="s">
        <v>30</v>
      </c>
      <c r="C8" s="2" t="s">
        <v>31</v>
      </c>
      <c r="D8" s="2" t="s">
        <v>32</v>
      </c>
      <c r="E8" s="2" t="s">
        <v>20</v>
      </c>
      <c r="F8" s="2" t="s">
        <v>15</v>
      </c>
      <c r="G8" s="4">
        <v>6100000</v>
      </c>
      <c r="H8" s="4">
        <v>450000</v>
      </c>
      <c r="I8" s="4">
        <v>50000</v>
      </c>
    </row>
    <row r="9" spans="1:9">
      <c r="A9" s="2" t="s">
        <v>33</v>
      </c>
      <c r="B9" s="2" t="s">
        <v>34</v>
      </c>
      <c r="C9" s="2" t="s">
        <v>35</v>
      </c>
      <c r="D9" s="2" t="s">
        <v>36</v>
      </c>
      <c r="E9" s="2" t="s">
        <v>20</v>
      </c>
      <c r="F9" s="2" t="s">
        <v>15</v>
      </c>
      <c r="G9" s="4">
        <v>6100000</v>
      </c>
      <c r="H9" s="4">
        <v>450000</v>
      </c>
      <c r="I9" s="4">
        <v>50000</v>
      </c>
    </row>
    <row r="10" spans="1:9">
      <c r="A10" s="2" t="s">
        <v>37</v>
      </c>
      <c r="B10" s="2" t="s">
        <v>38</v>
      </c>
      <c r="C10" s="2" t="s">
        <v>12</v>
      </c>
      <c r="D10" s="2" t="s">
        <v>13</v>
      </c>
      <c r="E10" s="2" t="s">
        <v>14</v>
      </c>
      <c r="F10" s="2" t="s">
        <v>15</v>
      </c>
      <c r="G10" s="4">
        <v>5400000</v>
      </c>
      <c r="H10" s="4">
        <v>350000</v>
      </c>
      <c r="I10" s="4">
        <v>45000</v>
      </c>
    </row>
    <row r="11" spans="1:9">
      <c r="A11" s="2" t="s">
        <v>39</v>
      </c>
      <c r="B11" s="2" t="s">
        <v>40</v>
      </c>
      <c r="C11" s="2" t="s">
        <v>18</v>
      </c>
      <c r="D11" s="2" t="s">
        <v>19</v>
      </c>
      <c r="E11" s="2" t="s">
        <v>20</v>
      </c>
      <c r="F11" s="2" t="s">
        <v>15</v>
      </c>
      <c r="G11" s="4">
        <v>6200000</v>
      </c>
      <c r="H11" s="4">
        <v>450000</v>
      </c>
      <c r="I11" s="4">
        <v>50000</v>
      </c>
    </row>
    <row r="12" spans="1:9">
      <c r="A12" s="2" t="s">
        <v>41</v>
      </c>
      <c r="B12" s="2" t="s">
        <v>42</v>
      </c>
      <c r="C12" s="2" t="s">
        <v>23</v>
      </c>
      <c r="D12" s="2" t="s">
        <v>24</v>
      </c>
      <c r="E12" s="2" t="s">
        <v>14</v>
      </c>
      <c r="F12" s="2" t="s">
        <v>15</v>
      </c>
      <c r="G12" s="4">
        <v>5700000</v>
      </c>
      <c r="H12" s="4">
        <v>350000</v>
      </c>
      <c r="I12" s="4">
        <v>45000</v>
      </c>
    </row>
    <row r="13" spans="1:9">
      <c r="A13" s="2" t="s">
        <v>43</v>
      </c>
      <c r="B13" s="2" t="s">
        <v>44</v>
      </c>
      <c r="C13" s="2" t="s">
        <v>27</v>
      </c>
      <c r="D13" s="2" t="s">
        <v>28</v>
      </c>
      <c r="E13" s="2" t="s">
        <v>20</v>
      </c>
      <c r="F13" s="2" t="s">
        <v>15</v>
      </c>
      <c r="G13" s="4">
        <v>6200000</v>
      </c>
      <c r="H13" s="4">
        <v>500000</v>
      </c>
      <c r="I13" s="4">
        <v>55000</v>
      </c>
    </row>
    <row r="14" spans="1:9">
      <c r="A14" s="2" t="s">
        <v>45</v>
      </c>
      <c r="B14" s="2" t="s">
        <v>46</v>
      </c>
      <c r="C14" s="2" t="s">
        <v>31</v>
      </c>
      <c r="D14" s="2" t="s">
        <v>32</v>
      </c>
      <c r="E14" s="2" t="s">
        <v>20</v>
      </c>
      <c r="F14" s="2" t="s">
        <v>15</v>
      </c>
      <c r="G14" s="4">
        <v>6200000</v>
      </c>
      <c r="H14" s="4">
        <v>450000</v>
      </c>
      <c r="I14" s="4">
        <v>50000</v>
      </c>
    </row>
    <row r="15" spans="1:9">
      <c r="A15" s="2" t="s">
        <v>47</v>
      </c>
      <c r="B15" s="2" t="s">
        <v>48</v>
      </c>
      <c r="C15" s="2" t="s">
        <v>35</v>
      </c>
      <c r="D15" s="2" t="s">
        <v>36</v>
      </c>
      <c r="E15" s="2" t="s">
        <v>20</v>
      </c>
      <c r="F15" s="2" t="s">
        <v>15</v>
      </c>
      <c r="G15" s="4">
        <v>6200000</v>
      </c>
      <c r="H15" s="4">
        <v>450000</v>
      </c>
      <c r="I15" s="4">
        <v>50000</v>
      </c>
    </row>
    <row r="16" spans="1:9">
      <c r="A16" s="2" t="s">
        <v>49</v>
      </c>
      <c r="B16" s="2" t="s">
        <v>50</v>
      </c>
      <c r="C16" s="2" t="s">
        <v>12</v>
      </c>
      <c r="D16" s="2" t="s">
        <v>13</v>
      </c>
      <c r="E16" s="2" t="s">
        <v>14</v>
      </c>
      <c r="F16" s="2" t="s">
        <v>15</v>
      </c>
      <c r="G16" s="4">
        <v>5500000</v>
      </c>
      <c r="H16" s="4">
        <v>350000</v>
      </c>
      <c r="I16" s="4">
        <v>45000</v>
      </c>
    </row>
    <row r="17" spans="1:9">
      <c r="A17" s="2" t="s">
        <v>51</v>
      </c>
      <c r="B17" s="2" t="s">
        <v>52</v>
      </c>
      <c r="C17" s="2" t="s">
        <v>18</v>
      </c>
      <c r="D17" s="2" t="s">
        <v>19</v>
      </c>
      <c r="E17" s="2" t="s">
        <v>20</v>
      </c>
      <c r="F17" s="2" t="s">
        <v>15</v>
      </c>
      <c r="G17" s="4">
        <v>6300000</v>
      </c>
      <c r="H17" s="4">
        <v>450000</v>
      </c>
      <c r="I17" s="4">
        <v>50000</v>
      </c>
    </row>
    <row r="18" spans="1:9">
      <c r="A18" s="2" t="s">
        <v>53</v>
      </c>
      <c r="B18" s="2" t="s">
        <v>54</v>
      </c>
      <c r="C18" s="2" t="s">
        <v>23</v>
      </c>
      <c r="D18" s="2" t="s">
        <v>24</v>
      </c>
      <c r="E18" s="2" t="s">
        <v>14</v>
      </c>
      <c r="F18" s="2" t="s">
        <v>15</v>
      </c>
      <c r="G18" s="4">
        <v>5300000</v>
      </c>
      <c r="H18" s="4">
        <v>350000</v>
      </c>
      <c r="I18" s="4">
        <v>45000</v>
      </c>
    </row>
    <row r="19" spans="1:9">
      <c r="A19" s="2" t="s">
        <v>55</v>
      </c>
      <c r="B19" s="2" t="s">
        <v>56</v>
      </c>
      <c r="C19" s="2" t="s">
        <v>27</v>
      </c>
      <c r="D19" s="2" t="s">
        <v>28</v>
      </c>
      <c r="E19" s="2" t="s">
        <v>20</v>
      </c>
      <c r="F19" s="2" t="s">
        <v>15</v>
      </c>
      <c r="G19" s="4">
        <v>6300000</v>
      </c>
      <c r="H19" s="4">
        <v>500000</v>
      </c>
      <c r="I19" s="4">
        <v>55000</v>
      </c>
    </row>
    <row r="20" spans="1:9">
      <c r="A20" s="2" t="s">
        <v>57</v>
      </c>
      <c r="B20" s="2" t="s">
        <v>58</v>
      </c>
      <c r="C20" s="2" t="s">
        <v>31</v>
      </c>
      <c r="D20" s="2" t="s">
        <v>32</v>
      </c>
      <c r="E20" s="2" t="s">
        <v>20</v>
      </c>
      <c r="F20" s="2" t="s">
        <v>59</v>
      </c>
      <c r="G20" s="4">
        <v>6300000</v>
      </c>
      <c r="H20" s="4">
        <v>450000</v>
      </c>
      <c r="I20" s="4">
        <v>50000</v>
      </c>
    </row>
    <row r="21" spans="1:9">
      <c r="A21" s="2" t="s">
        <v>60</v>
      </c>
      <c r="B21" s="2" t="s">
        <v>61</v>
      </c>
      <c r="C21" s="2" t="s">
        <v>35</v>
      </c>
      <c r="D21" s="2" t="s">
        <v>36</v>
      </c>
      <c r="E21" s="2" t="s">
        <v>20</v>
      </c>
      <c r="F21" s="2" t="s">
        <v>15</v>
      </c>
      <c r="G21" s="4">
        <v>6300000</v>
      </c>
      <c r="H21" s="4">
        <v>450000</v>
      </c>
      <c r="I21" s="4">
        <v>50000</v>
      </c>
    </row>
    <row r="22" spans="1:9">
      <c r="A22" s="2" t="s">
        <v>62</v>
      </c>
      <c r="B22" s="2" t="s">
        <v>63</v>
      </c>
      <c r="C22" s="2" t="s">
        <v>12</v>
      </c>
      <c r="D22" s="2" t="s">
        <v>13</v>
      </c>
      <c r="E22" s="2" t="s">
        <v>14</v>
      </c>
      <c r="F22" s="2" t="s">
        <v>15</v>
      </c>
      <c r="G22" s="4">
        <v>5600000</v>
      </c>
      <c r="H22" s="4">
        <v>350000</v>
      </c>
      <c r="I22" s="4">
        <v>45000</v>
      </c>
    </row>
    <row r="23" spans="1:9">
      <c r="A23" s="2" t="s">
        <v>64</v>
      </c>
      <c r="B23" s="2" t="s">
        <v>65</v>
      </c>
      <c r="C23" s="2" t="s">
        <v>18</v>
      </c>
      <c r="D23" s="2" t="s">
        <v>19</v>
      </c>
      <c r="E23" s="2" t="s">
        <v>20</v>
      </c>
      <c r="F23" s="2" t="s">
        <v>15</v>
      </c>
      <c r="G23" s="4">
        <v>5900000</v>
      </c>
      <c r="H23" s="4">
        <v>450000</v>
      </c>
      <c r="I23" s="4">
        <v>50000</v>
      </c>
    </row>
    <row r="24" spans="1:9">
      <c r="A24" s="2" t="s">
        <v>66</v>
      </c>
      <c r="B24" s="2" t="s">
        <v>67</v>
      </c>
      <c r="C24" s="2" t="s">
        <v>23</v>
      </c>
      <c r="D24" s="2" t="s">
        <v>24</v>
      </c>
      <c r="E24" s="2" t="s">
        <v>14</v>
      </c>
      <c r="F24" s="2" t="s">
        <v>15</v>
      </c>
      <c r="G24" s="4">
        <v>5400000</v>
      </c>
      <c r="H24" s="4">
        <v>350000</v>
      </c>
      <c r="I24" s="4">
        <v>45000</v>
      </c>
    </row>
    <row r="25" spans="1:9">
      <c r="A25" s="2" t="s">
        <v>68</v>
      </c>
      <c r="B25" s="2" t="s">
        <v>69</v>
      </c>
      <c r="C25" s="2" t="s">
        <v>27</v>
      </c>
      <c r="D25" s="2" t="s">
        <v>28</v>
      </c>
      <c r="E25" s="2" t="s">
        <v>20</v>
      </c>
      <c r="F25" s="2" t="s">
        <v>15</v>
      </c>
      <c r="G25" s="4">
        <v>6400000</v>
      </c>
      <c r="H25" s="4">
        <v>500000</v>
      </c>
      <c r="I25" s="4">
        <v>55000</v>
      </c>
    </row>
    <row r="26" spans="1:9">
      <c r="A26" s="2" t="s">
        <v>70</v>
      </c>
      <c r="B26" s="2" t="s">
        <v>71</v>
      </c>
      <c r="C26" s="2" t="s">
        <v>31</v>
      </c>
      <c r="D26" s="2" t="s">
        <v>32</v>
      </c>
      <c r="E26" s="2" t="s">
        <v>20</v>
      </c>
      <c r="F26" s="2" t="s">
        <v>15</v>
      </c>
      <c r="G26" s="4">
        <v>6400000</v>
      </c>
      <c r="H26" s="4">
        <v>450000</v>
      </c>
      <c r="I26" s="4">
        <v>50000</v>
      </c>
    </row>
    <row r="27" spans="1:9">
      <c r="A27" s="2" t="s">
        <v>72</v>
      </c>
      <c r="B27" s="2" t="s">
        <v>73</v>
      </c>
      <c r="C27" s="2" t="s">
        <v>35</v>
      </c>
      <c r="D27" s="2" t="s">
        <v>36</v>
      </c>
      <c r="E27" s="2" t="s">
        <v>20</v>
      </c>
      <c r="F27" s="2" t="s">
        <v>15</v>
      </c>
      <c r="G27" s="4">
        <v>6400000</v>
      </c>
      <c r="H27" s="4">
        <v>450000</v>
      </c>
      <c r="I27" s="4">
        <v>50000</v>
      </c>
    </row>
    <row r="28" spans="1:9">
      <c r="A28" s="2" t="s">
        <v>74</v>
      </c>
      <c r="B28" s="2" t="s">
        <v>75</v>
      </c>
      <c r="C28" s="2" t="s">
        <v>12</v>
      </c>
      <c r="D28" s="2" t="s">
        <v>13</v>
      </c>
      <c r="E28" s="2" t="s">
        <v>14</v>
      </c>
      <c r="F28" s="2" t="s">
        <v>15</v>
      </c>
      <c r="G28" s="4">
        <v>5200000</v>
      </c>
      <c r="H28" s="4">
        <v>350000</v>
      </c>
      <c r="I28" s="4">
        <v>45000</v>
      </c>
    </row>
    <row r="29" spans="1:9">
      <c r="A29" s="2" t="s">
        <v>76</v>
      </c>
      <c r="B29" s="2" t="s">
        <v>77</v>
      </c>
      <c r="C29" s="2" t="s">
        <v>18</v>
      </c>
      <c r="D29" s="2" t="s">
        <v>19</v>
      </c>
      <c r="E29" s="2" t="s">
        <v>20</v>
      </c>
      <c r="F29" s="2" t="s">
        <v>15</v>
      </c>
      <c r="G29" s="4">
        <v>6000000</v>
      </c>
      <c r="H29" s="4">
        <v>450000</v>
      </c>
      <c r="I29" s="4">
        <v>50000</v>
      </c>
    </row>
    <row r="30" spans="1:9">
      <c r="A30" s="2" t="s">
        <v>78</v>
      </c>
      <c r="B30" s="2" t="s">
        <v>79</v>
      </c>
      <c r="C30" s="2" t="s">
        <v>23</v>
      </c>
      <c r="D30" s="2" t="s">
        <v>24</v>
      </c>
      <c r="E30" s="2" t="s">
        <v>14</v>
      </c>
      <c r="F30" s="2" t="s">
        <v>15</v>
      </c>
      <c r="G30" s="4">
        <v>5500000</v>
      </c>
      <c r="H30" s="4">
        <v>350000</v>
      </c>
      <c r="I30" s="4">
        <v>45000</v>
      </c>
    </row>
    <row r="31" spans="1:9">
      <c r="A31" s="2" t="s">
        <v>80</v>
      </c>
      <c r="B31" s="2" t="s">
        <v>81</v>
      </c>
      <c r="C31" s="2" t="s">
        <v>27</v>
      </c>
      <c r="D31" s="2" t="s">
        <v>28</v>
      </c>
      <c r="E31" s="2" t="s">
        <v>20</v>
      </c>
      <c r="F31" s="2" t="s">
        <v>15</v>
      </c>
      <c r="G31" s="4">
        <v>6500000</v>
      </c>
      <c r="H31" s="4">
        <v>500000</v>
      </c>
      <c r="I31" s="4">
        <v>55000</v>
      </c>
    </row>
    <row r="32" spans="1:9">
      <c r="A32" s="2" t="s">
        <v>82</v>
      </c>
      <c r="B32" s="2" t="s">
        <v>83</v>
      </c>
      <c r="C32" s="2" t="s">
        <v>31</v>
      </c>
      <c r="D32" s="2" t="s">
        <v>32</v>
      </c>
      <c r="E32" s="2" t="s">
        <v>20</v>
      </c>
      <c r="F32" s="2" t="s">
        <v>15</v>
      </c>
      <c r="G32" s="4">
        <v>6500000</v>
      </c>
      <c r="H32" s="4">
        <v>450000</v>
      </c>
      <c r="I32" s="4">
        <v>50000</v>
      </c>
    </row>
    <row r="33" spans="1:9">
      <c r="A33" s="2" t="s">
        <v>84</v>
      </c>
      <c r="B33" s="2" t="s">
        <v>85</v>
      </c>
      <c r="C33" s="2" t="s">
        <v>35</v>
      </c>
      <c r="D33" s="2" t="s">
        <v>36</v>
      </c>
      <c r="E33" s="2" t="s">
        <v>20</v>
      </c>
      <c r="F33" s="2" t="s">
        <v>15</v>
      </c>
      <c r="G33" s="4">
        <v>6000000</v>
      </c>
      <c r="H33" s="4">
        <v>450000</v>
      </c>
      <c r="I33" s="4">
        <v>50000</v>
      </c>
    </row>
    <row r="34" spans="1:9">
      <c r="A34" s="2" t="s">
        <v>86</v>
      </c>
      <c r="B34" s="2" t="s">
        <v>87</v>
      </c>
      <c r="C34" s="2" t="s">
        <v>12</v>
      </c>
      <c r="D34" s="2" t="s">
        <v>13</v>
      </c>
      <c r="E34" s="2" t="s">
        <v>14</v>
      </c>
      <c r="F34" s="2" t="s">
        <v>15</v>
      </c>
      <c r="G34" s="4">
        <v>5300000</v>
      </c>
      <c r="H34" s="4">
        <v>350000</v>
      </c>
      <c r="I34" s="4">
        <v>45000</v>
      </c>
    </row>
    <row r="35" spans="1:9">
      <c r="A35" s="2" t="s">
        <v>88</v>
      </c>
      <c r="B35" s="2" t="s">
        <v>89</v>
      </c>
      <c r="C35" s="2" t="s">
        <v>18</v>
      </c>
      <c r="D35" s="2" t="s">
        <v>19</v>
      </c>
      <c r="E35" s="2" t="s">
        <v>20</v>
      </c>
      <c r="F35" s="2" t="s">
        <v>15</v>
      </c>
      <c r="G35" s="4">
        <v>6100000</v>
      </c>
      <c r="H35" s="4">
        <v>450000</v>
      </c>
      <c r="I35" s="4">
        <v>50000</v>
      </c>
    </row>
    <row r="36" spans="1:9">
      <c r="A36" s="2" t="s">
        <v>90</v>
      </c>
      <c r="B36" s="2" t="s">
        <v>91</v>
      </c>
      <c r="C36" s="2" t="s">
        <v>23</v>
      </c>
      <c r="D36" s="2" t="s">
        <v>24</v>
      </c>
      <c r="E36" s="2" t="s">
        <v>14</v>
      </c>
      <c r="F36" s="2" t="s">
        <v>15</v>
      </c>
      <c r="G36" s="4">
        <v>5600000</v>
      </c>
      <c r="H36" s="4">
        <v>350000</v>
      </c>
      <c r="I36" s="4">
        <v>45000</v>
      </c>
    </row>
    <row r="37" spans="1:9">
      <c r="A37" s="2" t="s">
        <v>92</v>
      </c>
      <c r="B37" s="2" t="s">
        <v>93</v>
      </c>
      <c r="C37" s="2" t="s">
        <v>27</v>
      </c>
      <c r="D37" s="2" t="s">
        <v>28</v>
      </c>
      <c r="E37" s="2" t="s">
        <v>20</v>
      </c>
      <c r="F37" s="2" t="s">
        <v>59</v>
      </c>
      <c r="G37" s="4">
        <v>6600000</v>
      </c>
      <c r="H37" s="4">
        <v>500000</v>
      </c>
      <c r="I37" s="4">
        <v>55000</v>
      </c>
    </row>
    <row r="38" spans="1:9">
      <c r="A38" s="2" t="s">
        <v>94</v>
      </c>
      <c r="B38" s="2" t="s">
        <v>95</v>
      </c>
      <c r="C38" s="2" t="s">
        <v>31</v>
      </c>
      <c r="D38" s="2" t="s">
        <v>32</v>
      </c>
      <c r="E38" s="2" t="s">
        <v>20</v>
      </c>
      <c r="F38" s="2" t="s">
        <v>15</v>
      </c>
      <c r="G38" s="4">
        <v>6100000</v>
      </c>
      <c r="H38" s="4">
        <v>450000</v>
      </c>
      <c r="I38" s="4">
        <v>50000</v>
      </c>
    </row>
    <row r="39" spans="1:9">
      <c r="A39" s="2" t="s">
        <v>96</v>
      </c>
      <c r="B39" s="2" t="s">
        <v>97</v>
      </c>
      <c r="C39" s="2" t="s">
        <v>35</v>
      </c>
      <c r="D39" s="2" t="s">
        <v>36</v>
      </c>
      <c r="E39" s="2" t="s">
        <v>20</v>
      </c>
      <c r="F39" s="2" t="s">
        <v>15</v>
      </c>
      <c r="G39" s="4">
        <v>6100000</v>
      </c>
      <c r="H39" s="4">
        <v>450000</v>
      </c>
      <c r="I39" s="4">
        <v>50000</v>
      </c>
    </row>
    <row r="40" spans="1:9">
      <c r="A40" s="2" t="s">
        <v>98</v>
      </c>
      <c r="B40" s="2" t="s">
        <v>99</v>
      </c>
      <c r="C40" s="2" t="s">
        <v>12</v>
      </c>
      <c r="D40" s="2" t="s">
        <v>13</v>
      </c>
      <c r="E40" s="2" t="s">
        <v>14</v>
      </c>
      <c r="F40" s="2" t="s">
        <v>15</v>
      </c>
      <c r="G40" s="4">
        <v>5400000</v>
      </c>
      <c r="H40" s="4">
        <v>350000</v>
      </c>
      <c r="I40" s="4">
        <v>45000</v>
      </c>
    </row>
    <row r="41" spans="1:9">
      <c r="A41" s="2" t="s">
        <v>100</v>
      </c>
      <c r="B41" s="2" t="s">
        <v>101</v>
      </c>
      <c r="C41" s="2" t="s">
        <v>18</v>
      </c>
      <c r="D41" s="2" t="s">
        <v>19</v>
      </c>
      <c r="E41" s="2" t="s">
        <v>20</v>
      </c>
      <c r="F41" s="2" t="s">
        <v>15</v>
      </c>
      <c r="G41" s="4">
        <v>6200000</v>
      </c>
      <c r="H41" s="4">
        <v>450000</v>
      </c>
      <c r="I41" s="4">
        <v>50000</v>
      </c>
    </row>
    <row r="42" spans="1:9">
      <c r="A42" s="2" t="s">
        <v>102</v>
      </c>
      <c r="B42" s="2" t="s">
        <v>103</v>
      </c>
      <c r="C42" s="2" t="s">
        <v>23</v>
      </c>
      <c r="D42" s="2" t="s">
        <v>24</v>
      </c>
      <c r="E42" s="2" t="s">
        <v>14</v>
      </c>
      <c r="F42" s="2" t="s">
        <v>15</v>
      </c>
      <c r="G42" s="4">
        <v>5700000</v>
      </c>
      <c r="H42" s="4">
        <v>350000</v>
      </c>
      <c r="I42" s="4">
        <v>45000</v>
      </c>
    </row>
    <row r="43" spans="1:9">
      <c r="A43" s="2" t="s">
        <v>104</v>
      </c>
      <c r="B43" s="2" t="s">
        <v>105</v>
      </c>
      <c r="C43" s="2" t="s">
        <v>27</v>
      </c>
      <c r="D43" s="2" t="s">
        <v>28</v>
      </c>
      <c r="E43" s="2" t="s">
        <v>20</v>
      </c>
      <c r="F43" s="2" t="s">
        <v>15</v>
      </c>
      <c r="G43" s="4">
        <v>6200000</v>
      </c>
      <c r="H43" s="4">
        <v>500000</v>
      </c>
      <c r="I43" s="4">
        <v>55000</v>
      </c>
    </row>
    <row r="44" spans="1:9">
      <c r="A44" s="2" t="s">
        <v>106</v>
      </c>
      <c r="B44" s="2" t="s">
        <v>107</v>
      </c>
      <c r="C44" s="2" t="s">
        <v>31</v>
      </c>
      <c r="D44" s="2" t="s">
        <v>32</v>
      </c>
      <c r="E44" s="2" t="s">
        <v>20</v>
      </c>
      <c r="F44" s="2" t="s">
        <v>15</v>
      </c>
      <c r="G44" s="4">
        <v>6200000</v>
      </c>
      <c r="H44" s="4">
        <v>450000</v>
      </c>
      <c r="I44" s="4">
        <v>50000</v>
      </c>
    </row>
    <row r="45" spans="1:9">
      <c r="A45" s="2" t="s">
        <v>108</v>
      </c>
      <c r="B45" s="2" t="s">
        <v>109</v>
      </c>
      <c r="C45" s="2" t="s">
        <v>35</v>
      </c>
      <c r="D45" s="2" t="s">
        <v>36</v>
      </c>
      <c r="E45" s="2" t="s">
        <v>20</v>
      </c>
      <c r="F45" s="2" t="s">
        <v>15</v>
      </c>
      <c r="G45" s="4">
        <v>6200000</v>
      </c>
      <c r="H45" s="4">
        <v>450000</v>
      </c>
      <c r="I45" s="4">
        <v>50000</v>
      </c>
    </row>
    <row r="46" spans="1:9">
      <c r="A46" s="2" t="s">
        <v>110</v>
      </c>
      <c r="B46" s="2" t="s">
        <v>111</v>
      </c>
      <c r="C46" s="2" t="s">
        <v>12</v>
      </c>
      <c r="D46" s="2" t="s">
        <v>13</v>
      </c>
      <c r="E46" s="2" t="s">
        <v>14</v>
      </c>
      <c r="F46" s="2" t="s">
        <v>15</v>
      </c>
      <c r="G46" s="4">
        <v>5500000</v>
      </c>
      <c r="H46" s="4">
        <v>350000</v>
      </c>
      <c r="I46" s="4">
        <v>45000</v>
      </c>
    </row>
    <row r="47" spans="1:9">
      <c r="A47" s="2" t="s">
        <v>112</v>
      </c>
      <c r="B47" s="2" t="s">
        <v>113</v>
      </c>
      <c r="C47" s="2" t="s">
        <v>18</v>
      </c>
      <c r="D47" s="2" t="s">
        <v>19</v>
      </c>
      <c r="E47" s="2" t="s">
        <v>20</v>
      </c>
      <c r="F47" s="2" t="s">
        <v>15</v>
      </c>
      <c r="G47" s="4">
        <v>6300000</v>
      </c>
      <c r="H47" s="4">
        <v>450000</v>
      </c>
      <c r="I47" s="4">
        <v>50000</v>
      </c>
    </row>
    <row r="48" spans="1:9">
      <c r="A48" s="2" t="s">
        <v>114</v>
      </c>
      <c r="B48" s="2" t="s">
        <v>115</v>
      </c>
      <c r="C48" s="2" t="s">
        <v>23</v>
      </c>
      <c r="D48" s="2" t="s">
        <v>24</v>
      </c>
      <c r="E48" s="2" t="s">
        <v>14</v>
      </c>
      <c r="F48" s="2" t="s">
        <v>15</v>
      </c>
      <c r="G48" s="4">
        <v>5300000</v>
      </c>
      <c r="H48" s="4">
        <v>350000</v>
      </c>
      <c r="I48" s="4">
        <v>45000</v>
      </c>
    </row>
    <row r="49" spans="1:9">
      <c r="A49" s="2" t="s">
        <v>116</v>
      </c>
      <c r="B49" s="2" t="s">
        <v>117</v>
      </c>
      <c r="C49" s="2" t="s">
        <v>27</v>
      </c>
      <c r="D49" s="2" t="s">
        <v>28</v>
      </c>
      <c r="E49" s="2" t="s">
        <v>20</v>
      </c>
      <c r="F49" s="2" t="s">
        <v>15</v>
      </c>
      <c r="G49" s="4">
        <v>6300000</v>
      </c>
      <c r="H49" s="4">
        <v>500000</v>
      </c>
      <c r="I49" s="4">
        <v>55000</v>
      </c>
    </row>
    <row r="50" spans="1:9">
      <c r="A50" s="2" t="s">
        <v>118</v>
      </c>
      <c r="B50" s="2" t="s">
        <v>119</v>
      </c>
      <c r="C50" s="2" t="s">
        <v>31</v>
      </c>
      <c r="D50" s="2" t="s">
        <v>32</v>
      </c>
      <c r="E50" s="2" t="s">
        <v>20</v>
      </c>
      <c r="F50" s="2" t="s">
        <v>15</v>
      </c>
      <c r="G50" s="4">
        <v>6300000</v>
      </c>
      <c r="H50" s="4">
        <v>450000</v>
      </c>
      <c r="I50" s="4">
        <v>50000</v>
      </c>
    </row>
    <row r="51" spans="1:9">
      <c r="A51" s="2" t="s">
        <v>120</v>
      </c>
      <c r="B51" s="2" t="s">
        <v>121</v>
      </c>
      <c r="C51" s="2" t="s">
        <v>35</v>
      </c>
      <c r="D51" s="2" t="s">
        <v>36</v>
      </c>
      <c r="E51" s="2" t="s">
        <v>20</v>
      </c>
      <c r="F51" s="2" t="s">
        <v>15</v>
      </c>
      <c r="G51" s="4">
        <v>6300000</v>
      </c>
      <c r="H51" s="4">
        <v>450000</v>
      </c>
      <c r="I51" s="4">
        <v>50000</v>
      </c>
    </row>
    <row r="52" spans="1:9">
      <c r="A52" s="2" t="s">
        <v>122</v>
      </c>
      <c r="B52" s="2" t="s">
        <v>123</v>
      </c>
      <c r="C52" s="2" t="s">
        <v>12</v>
      </c>
      <c r="D52" s="2" t="s">
        <v>13</v>
      </c>
      <c r="E52" s="2" t="s">
        <v>14</v>
      </c>
      <c r="F52" s="2" t="s">
        <v>15</v>
      </c>
      <c r="G52" s="4">
        <v>5600000</v>
      </c>
      <c r="H52" s="4">
        <v>350000</v>
      </c>
      <c r="I52" s="4">
        <v>45000</v>
      </c>
    </row>
    <row r="53" spans="1:9">
      <c r="A53" s="2" t="s">
        <v>124</v>
      </c>
      <c r="B53" s="2" t="s">
        <v>125</v>
      </c>
      <c r="C53" s="2" t="s">
        <v>18</v>
      </c>
      <c r="D53" s="2" t="s">
        <v>19</v>
      </c>
      <c r="E53" s="2" t="s">
        <v>20</v>
      </c>
      <c r="F53" s="2" t="s">
        <v>15</v>
      </c>
      <c r="G53" s="4">
        <v>5900000</v>
      </c>
      <c r="H53" s="4">
        <v>450000</v>
      </c>
      <c r="I53" s="4">
        <v>50000</v>
      </c>
    </row>
  </sheetData>
  <mergeCells count="1">
    <mergeCell ref="A1:I1"/>
  </mergeCells>
  <conditionalFormatting sqref="F4:F53">
    <cfRule type="expression" dxfId="1" priority="1">
      <formula>F4="Resigned"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="60" zoomScaleNormal="60" workbookViewId="0">
      <selection sqref="A1:H1"/>
    </sheetView>
  </sheetViews>
  <sheetFormatPr defaultRowHeight="13.8"/>
  <cols>
    <col min="1" max="1" width="12" customWidth="1"/>
    <col min="2" max="6" width="14" customWidth="1"/>
    <col min="7" max="7" width="16" customWidth="1"/>
    <col min="8" max="8" width="28" customWidth="1"/>
  </cols>
  <sheetData>
    <row r="1" spans="1:8" ht="19.2">
      <c r="A1" s="6" t="s">
        <v>126</v>
      </c>
      <c r="B1" s="6"/>
      <c r="C1" s="6"/>
      <c r="D1" s="6"/>
      <c r="E1" s="6"/>
      <c r="F1" s="6"/>
      <c r="G1" s="6"/>
      <c r="H1" s="6"/>
    </row>
    <row r="3" spans="1:8" ht="27.6">
      <c r="A3" s="1" t="s">
        <v>1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  <c r="G3" s="1" t="s">
        <v>132</v>
      </c>
      <c r="H3" s="1" t="s">
        <v>133</v>
      </c>
    </row>
    <row r="4" spans="1:8">
      <c r="A4" s="2" t="s">
        <v>10</v>
      </c>
      <c r="B4" s="2">
        <v>22</v>
      </c>
      <c r="C4" s="2">
        <v>22</v>
      </c>
      <c r="D4" s="2">
        <v>0</v>
      </c>
      <c r="E4" s="2">
        <v>1</v>
      </c>
      <c r="F4" s="2">
        <v>3</v>
      </c>
      <c r="G4" s="4">
        <v>25000</v>
      </c>
      <c r="H4" s="2"/>
    </row>
    <row r="5" spans="1:8">
      <c r="A5" s="2" t="s">
        <v>16</v>
      </c>
      <c r="B5" s="2">
        <v>22</v>
      </c>
      <c r="C5" s="2">
        <v>22</v>
      </c>
      <c r="D5" s="2">
        <v>0</v>
      </c>
      <c r="E5" s="2">
        <v>2</v>
      </c>
      <c r="F5" s="2">
        <v>6</v>
      </c>
      <c r="G5" s="4">
        <v>50000</v>
      </c>
      <c r="H5" s="2"/>
    </row>
    <row r="6" spans="1:8">
      <c r="A6" s="2" t="s">
        <v>21</v>
      </c>
      <c r="B6" s="2">
        <v>22</v>
      </c>
      <c r="C6" s="2">
        <v>22</v>
      </c>
      <c r="D6" s="2">
        <v>0</v>
      </c>
      <c r="E6" s="2">
        <v>3</v>
      </c>
      <c r="F6" s="2">
        <v>9</v>
      </c>
      <c r="G6" s="4">
        <v>75000</v>
      </c>
      <c r="H6" s="2"/>
    </row>
    <row r="7" spans="1:8">
      <c r="A7" s="2" t="s">
        <v>25</v>
      </c>
      <c r="B7" s="2">
        <v>22</v>
      </c>
      <c r="C7" s="2">
        <v>21</v>
      </c>
      <c r="D7" s="2">
        <v>1</v>
      </c>
      <c r="E7" s="2">
        <v>0</v>
      </c>
      <c r="F7" s="2">
        <v>12</v>
      </c>
      <c r="G7" s="4">
        <v>100000</v>
      </c>
      <c r="H7" s="2"/>
    </row>
    <row r="8" spans="1:8">
      <c r="A8" s="2" t="s">
        <v>29</v>
      </c>
      <c r="B8" s="2">
        <v>22</v>
      </c>
      <c r="C8" s="2">
        <v>22</v>
      </c>
      <c r="D8" s="2">
        <v>0</v>
      </c>
      <c r="E8" s="2">
        <v>1</v>
      </c>
      <c r="F8" s="2">
        <v>15</v>
      </c>
      <c r="G8" s="4">
        <v>25000</v>
      </c>
      <c r="H8" s="2"/>
    </row>
    <row r="9" spans="1:8">
      <c r="A9" s="2" t="s">
        <v>33</v>
      </c>
      <c r="B9" s="2">
        <v>22</v>
      </c>
      <c r="C9" s="2">
        <v>22</v>
      </c>
      <c r="D9" s="2">
        <v>0</v>
      </c>
      <c r="E9" s="2">
        <v>2</v>
      </c>
      <c r="F9" s="2">
        <v>18</v>
      </c>
      <c r="G9" s="4">
        <v>50000</v>
      </c>
      <c r="H9" s="2"/>
    </row>
    <row r="10" spans="1:8">
      <c r="A10" s="2" t="s">
        <v>37</v>
      </c>
      <c r="B10" s="2">
        <v>22</v>
      </c>
      <c r="C10" s="2">
        <v>22</v>
      </c>
      <c r="D10" s="2">
        <v>0</v>
      </c>
      <c r="E10" s="2">
        <v>3</v>
      </c>
      <c r="F10" s="2">
        <v>21</v>
      </c>
      <c r="G10" s="4">
        <v>75000</v>
      </c>
      <c r="H10" s="2"/>
    </row>
    <row r="11" spans="1:8">
      <c r="A11" s="2" t="s">
        <v>39</v>
      </c>
      <c r="B11" s="2">
        <v>22</v>
      </c>
      <c r="C11" s="2">
        <v>21</v>
      </c>
      <c r="D11" s="2">
        <v>1</v>
      </c>
      <c r="E11" s="2">
        <v>0</v>
      </c>
      <c r="F11" s="2">
        <v>65</v>
      </c>
      <c r="G11" s="4">
        <v>100000</v>
      </c>
      <c r="H11" s="2" t="s">
        <v>134</v>
      </c>
    </row>
    <row r="12" spans="1:8">
      <c r="A12" s="2" t="s">
        <v>41</v>
      </c>
      <c r="B12" s="2">
        <v>22</v>
      </c>
      <c r="C12" s="2">
        <v>22</v>
      </c>
      <c r="D12" s="2">
        <v>0</v>
      </c>
      <c r="E12" s="2">
        <v>1</v>
      </c>
      <c r="F12" s="2">
        <v>27</v>
      </c>
      <c r="G12" s="4">
        <v>25000</v>
      </c>
      <c r="H12" s="2"/>
    </row>
    <row r="13" spans="1:8">
      <c r="A13" s="2" t="s">
        <v>43</v>
      </c>
      <c r="B13" s="2">
        <v>22</v>
      </c>
      <c r="C13" s="2">
        <v>22</v>
      </c>
      <c r="D13" s="2">
        <v>0</v>
      </c>
      <c r="E13" s="2">
        <v>2</v>
      </c>
      <c r="F13" s="2">
        <v>2</v>
      </c>
      <c r="G13" s="4">
        <v>50000</v>
      </c>
      <c r="H13" s="2"/>
    </row>
    <row r="14" spans="1:8">
      <c r="A14" s="2" t="s">
        <v>45</v>
      </c>
      <c r="B14" s="2">
        <v>22</v>
      </c>
      <c r="C14" s="2">
        <v>22</v>
      </c>
      <c r="D14" s="2">
        <v>0</v>
      </c>
      <c r="E14" s="2">
        <v>3</v>
      </c>
      <c r="F14" s="2">
        <v>5</v>
      </c>
      <c r="G14" s="4">
        <v>75000</v>
      </c>
      <c r="H14" s="2"/>
    </row>
    <row r="15" spans="1:8">
      <c r="A15" s="2" t="s">
        <v>47</v>
      </c>
      <c r="B15" s="2">
        <v>22</v>
      </c>
      <c r="C15" s="2">
        <v>20</v>
      </c>
      <c r="D15" s="2">
        <v>2</v>
      </c>
      <c r="E15" s="2">
        <v>0</v>
      </c>
      <c r="F15" s="2">
        <v>8</v>
      </c>
      <c r="G15" s="4">
        <v>200000</v>
      </c>
      <c r="H15" s="2"/>
    </row>
    <row r="16" spans="1:8">
      <c r="A16" s="2" t="s">
        <v>49</v>
      </c>
      <c r="B16" s="2">
        <v>22</v>
      </c>
      <c r="C16" s="2">
        <v>22</v>
      </c>
      <c r="D16" s="2">
        <v>0</v>
      </c>
      <c r="E16" s="2">
        <v>1</v>
      </c>
      <c r="F16" s="2">
        <v>11</v>
      </c>
      <c r="G16" s="4">
        <v>25000</v>
      </c>
      <c r="H16" s="2"/>
    </row>
    <row r="17" spans="1:8">
      <c r="A17" s="2" t="s">
        <v>51</v>
      </c>
      <c r="B17" s="2">
        <v>22</v>
      </c>
      <c r="C17" s="2">
        <v>22</v>
      </c>
      <c r="D17" s="2">
        <v>0</v>
      </c>
      <c r="E17" s="2">
        <v>2</v>
      </c>
      <c r="F17" s="2">
        <v>14</v>
      </c>
      <c r="G17" s="4">
        <v>50000</v>
      </c>
      <c r="H17" s="2"/>
    </row>
    <row r="18" spans="1:8">
      <c r="A18" s="2" t="s">
        <v>53</v>
      </c>
      <c r="B18" s="2">
        <v>22</v>
      </c>
      <c r="C18" s="2">
        <v>22</v>
      </c>
      <c r="D18" s="2">
        <v>0</v>
      </c>
      <c r="E18" s="2">
        <v>3</v>
      </c>
      <c r="F18" s="2">
        <v>17</v>
      </c>
      <c r="G18" s="4">
        <v>75000</v>
      </c>
      <c r="H18" s="2"/>
    </row>
    <row r="19" spans="1:8">
      <c r="A19" s="2" t="s">
        <v>55</v>
      </c>
      <c r="B19" s="2">
        <v>22</v>
      </c>
      <c r="C19" s="2">
        <v>21</v>
      </c>
      <c r="D19" s="2">
        <v>1</v>
      </c>
      <c r="E19" s="2">
        <v>0</v>
      </c>
      <c r="F19" s="2">
        <v>20</v>
      </c>
      <c r="G19" s="4">
        <v>100000</v>
      </c>
      <c r="H19" s="2"/>
    </row>
    <row r="20" spans="1:8">
      <c r="A20" s="2" t="s">
        <v>57</v>
      </c>
      <c r="B20" s="2">
        <v>22</v>
      </c>
      <c r="C20" s="2">
        <v>22</v>
      </c>
      <c r="D20" s="2">
        <v>0</v>
      </c>
      <c r="E20" s="2">
        <v>1</v>
      </c>
      <c r="F20" s="2">
        <v>23</v>
      </c>
      <c r="G20" s="4">
        <v>25000</v>
      </c>
      <c r="H20" s="2"/>
    </row>
    <row r="21" spans="1:8">
      <c r="A21" s="2" t="s">
        <v>60</v>
      </c>
      <c r="B21" s="2">
        <v>22</v>
      </c>
      <c r="C21" s="2">
        <v>22</v>
      </c>
      <c r="D21" s="2">
        <v>0</v>
      </c>
      <c r="E21" s="2">
        <v>2</v>
      </c>
      <c r="F21" s="2">
        <v>26</v>
      </c>
      <c r="G21" s="4">
        <v>50000</v>
      </c>
      <c r="H21" s="2"/>
    </row>
    <row r="22" spans="1:8">
      <c r="A22" s="2" t="s">
        <v>62</v>
      </c>
      <c r="B22" s="2">
        <v>22</v>
      </c>
      <c r="C22" s="2">
        <v>22</v>
      </c>
      <c r="D22" s="2">
        <v>0</v>
      </c>
      <c r="E22" s="2">
        <v>3</v>
      </c>
      <c r="F22" s="2">
        <v>1</v>
      </c>
      <c r="G22" s="4">
        <v>75000</v>
      </c>
      <c r="H22" s="2"/>
    </row>
    <row r="23" spans="1:8">
      <c r="A23" s="2" t="s">
        <v>64</v>
      </c>
      <c r="B23" s="2">
        <v>22</v>
      </c>
      <c r="C23" s="2">
        <v>21</v>
      </c>
      <c r="D23" s="2">
        <v>1</v>
      </c>
      <c r="E23" s="2">
        <v>0</v>
      </c>
      <c r="F23" s="2">
        <v>4</v>
      </c>
      <c r="G23" s="4">
        <v>100000</v>
      </c>
      <c r="H23" s="2"/>
    </row>
    <row r="24" spans="1:8">
      <c r="A24" s="2" t="s">
        <v>66</v>
      </c>
      <c r="B24" s="2">
        <v>22</v>
      </c>
      <c r="C24" s="2">
        <v>22</v>
      </c>
      <c r="D24" s="2">
        <v>0</v>
      </c>
      <c r="E24" s="2">
        <v>1</v>
      </c>
      <c r="F24" s="2">
        <v>7</v>
      </c>
      <c r="G24" s="4">
        <v>25000</v>
      </c>
      <c r="H24" s="2"/>
    </row>
    <row r="25" spans="1:8">
      <c r="A25" s="2" t="s">
        <v>68</v>
      </c>
      <c r="B25" s="2">
        <v>22</v>
      </c>
      <c r="C25" s="2">
        <v>22</v>
      </c>
      <c r="D25" s="2">
        <v>0</v>
      </c>
      <c r="E25" s="2">
        <v>2</v>
      </c>
      <c r="F25" s="2">
        <v>10</v>
      </c>
      <c r="G25" s="4">
        <v>50000</v>
      </c>
      <c r="H25" s="2"/>
    </row>
    <row r="26" spans="1:8">
      <c r="A26" s="2" t="s">
        <v>70</v>
      </c>
      <c r="B26" s="2">
        <v>22</v>
      </c>
      <c r="C26" s="2">
        <v>22</v>
      </c>
      <c r="D26" s="2">
        <v>0</v>
      </c>
      <c r="E26" s="2">
        <v>3</v>
      </c>
      <c r="F26" s="2">
        <v>13</v>
      </c>
      <c r="G26" s="4">
        <v>75000</v>
      </c>
      <c r="H26" s="2"/>
    </row>
    <row r="27" spans="1:8">
      <c r="A27" s="2" t="s">
        <v>72</v>
      </c>
      <c r="B27" s="2">
        <v>22</v>
      </c>
      <c r="C27" s="2">
        <v>21</v>
      </c>
      <c r="D27" s="2">
        <v>1</v>
      </c>
      <c r="E27" s="2">
        <v>0</v>
      </c>
      <c r="F27" s="2">
        <v>16</v>
      </c>
      <c r="G27" s="4">
        <v>100000</v>
      </c>
      <c r="H27" s="2"/>
    </row>
    <row r="28" spans="1:8">
      <c r="A28" s="2" t="s">
        <v>74</v>
      </c>
      <c r="B28" s="2">
        <v>22</v>
      </c>
      <c r="C28" s="2">
        <v>22</v>
      </c>
      <c r="D28" s="2">
        <v>0</v>
      </c>
      <c r="E28" s="2">
        <v>1</v>
      </c>
      <c r="F28" s="2">
        <v>19</v>
      </c>
      <c r="G28" s="4">
        <v>25000</v>
      </c>
      <c r="H28" s="2"/>
    </row>
    <row r="29" spans="1:8">
      <c r="A29" s="2" t="s">
        <v>76</v>
      </c>
      <c r="B29" s="2">
        <v>22</v>
      </c>
      <c r="C29" s="2">
        <v>22</v>
      </c>
      <c r="D29" s="2">
        <v>0</v>
      </c>
      <c r="E29" s="2">
        <v>2</v>
      </c>
      <c r="F29" s="2">
        <v>22</v>
      </c>
      <c r="G29" s="4">
        <v>50000</v>
      </c>
      <c r="H29" s="2"/>
    </row>
    <row r="30" spans="1:8">
      <c r="A30" s="2" t="s">
        <v>78</v>
      </c>
      <c r="B30" s="2">
        <v>22</v>
      </c>
      <c r="C30" s="2">
        <v>22</v>
      </c>
      <c r="D30" s="2">
        <v>0</v>
      </c>
      <c r="E30" s="2">
        <v>3</v>
      </c>
      <c r="F30" s="2">
        <v>25</v>
      </c>
      <c r="G30" s="4">
        <v>75000</v>
      </c>
      <c r="H30" s="2"/>
    </row>
    <row r="31" spans="1:8">
      <c r="A31" s="2" t="s">
        <v>80</v>
      </c>
      <c r="B31" s="2">
        <v>22</v>
      </c>
      <c r="C31" s="2">
        <v>21</v>
      </c>
      <c r="D31" s="2">
        <v>1</v>
      </c>
      <c r="E31" s="2">
        <v>0</v>
      </c>
      <c r="F31" s="2">
        <v>0</v>
      </c>
      <c r="G31" s="4">
        <v>100000</v>
      </c>
      <c r="H31" s="2"/>
    </row>
    <row r="32" spans="1:8">
      <c r="A32" s="2" t="s">
        <v>82</v>
      </c>
      <c r="B32" s="2">
        <v>22</v>
      </c>
      <c r="C32" s="2">
        <v>20</v>
      </c>
      <c r="D32" s="2">
        <v>2</v>
      </c>
      <c r="E32" s="2">
        <v>1</v>
      </c>
      <c r="F32" s="2">
        <v>3</v>
      </c>
      <c r="G32" s="4">
        <v>225000</v>
      </c>
      <c r="H32" s="2"/>
    </row>
    <row r="33" spans="1:8">
      <c r="A33" s="2" t="s">
        <v>84</v>
      </c>
      <c r="B33" s="2">
        <v>22</v>
      </c>
      <c r="C33" s="2">
        <v>22</v>
      </c>
      <c r="D33" s="2">
        <v>0</v>
      </c>
      <c r="E33" s="2">
        <v>2</v>
      </c>
      <c r="F33" s="2">
        <v>6</v>
      </c>
      <c r="G33" s="4">
        <v>50000</v>
      </c>
      <c r="H33" s="2"/>
    </row>
    <row r="34" spans="1:8">
      <c r="A34" s="2" t="s">
        <v>86</v>
      </c>
      <c r="B34" s="2">
        <v>22</v>
      </c>
      <c r="C34" s="2">
        <v>22</v>
      </c>
      <c r="D34" s="2">
        <v>0</v>
      </c>
      <c r="E34" s="2">
        <v>3</v>
      </c>
      <c r="F34" s="2">
        <v>9</v>
      </c>
      <c r="G34" s="4">
        <v>75000</v>
      </c>
      <c r="H34" s="2"/>
    </row>
    <row r="35" spans="1:8">
      <c r="A35" s="2" t="s">
        <v>88</v>
      </c>
      <c r="B35" s="2">
        <v>22</v>
      </c>
      <c r="C35" s="2">
        <v>21</v>
      </c>
      <c r="D35" s="2">
        <v>1</v>
      </c>
      <c r="E35" s="2">
        <v>0</v>
      </c>
      <c r="F35" s="2">
        <v>12</v>
      </c>
      <c r="G35" s="4">
        <v>100000</v>
      </c>
      <c r="H35" s="2"/>
    </row>
    <row r="36" spans="1:8">
      <c r="A36" s="2" t="s">
        <v>90</v>
      </c>
      <c r="B36" s="2">
        <v>22</v>
      </c>
      <c r="C36" s="2">
        <v>22</v>
      </c>
      <c r="D36" s="2">
        <v>0</v>
      </c>
      <c r="E36" s="2">
        <v>1</v>
      </c>
      <c r="F36" s="2">
        <v>15</v>
      </c>
      <c r="G36" s="4">
        <v>25000</v>
      </c>
      <c r="H36" s="2"/>
    </row>
    <row r="37" spans="1:8">
      <c r="A37" s="2" t="s">
        <v>92</v>
      </c>
      <c r="B37" s="2">
        <v>22</v>
      </c>
      <c r="C37" s="2">
        <v>22</v>
      </c>
      <c r="D37" s="2">
        <v>0</v>
      </c>
      <c r="E37" s="2">
        <v>2</v>
      </c>
      <c r="F37" s="2">
        <v>10</v>
      </c>
      <c r="G37" s="4">
        <v>50000</v>
      </c>
      <c r="H37" s="2" t="s">
        <v>135</v>
      </c>
    </row>
    <row r="38" spans="1:8">
      <c r="A38" s="2" t="s">
        <v>94</v>
      </c>
      <c r="B38" s="2">
        <v>22</v>
      </c>
      <c r="C38" s="2">
        <v>22</v>
      </c>
      <c r="D38" s="2">
        <v>0</v>
      </c>
      <c r="E38" s="2">
        <v>3</v>
      </c>
      <c r="F38" s="2">
        <v>21</v>
      </c>
      <c r="G38" s="4">
        <v>75000</v>
      </c>
      <c r="H38" s="2"/>
    </row>
    <row r="39" spans="1:8">
      <c r="A39" s="2" t="s">
        <v>96</v>
      </c>
      <c r="B39" s="2">
        <v>22</v>
      </c>
      <c r="C39" s="2">
        <v>21</v>
      </c>
      <c r="D39" s="2">
        <v>1</v>
      </c>
      <c r="E39" s="2">
        <v>0</v>
      </c>
      <c r="F39" s="2">
        <v>24</v>
      </c>
      <c r="G39" s="4">
        <v>100000</v>
      </c>
      <c r="H39" s="2"/>
    </row>
    <row r="40" spans="1:8">
      <c r="A40" s="2" t="s">
        <v>98</v>
      </c>
      <c r="B40" s="2">
        <v>22</v>
      </c>
      <c r="C40" s="2">
        <v>22</v>
      </c>
      <c r="D40" s="2">
        <v>0</v>
      </c>
      <c r="E40" s="2">
        <v>1</v>
      </c>
      <c r="F40" s="2">
        <v>27</v>
      </c>
      <c r="G40" s="4">
        <v>25000</v>
      </c>
      <c r="H40" s="2"/>
    </row>
    <row r="41" spans="1:8">
      <c r="A41" s="2" t="s">
        <v>100</v>
      </c>
      <c r="B41" s="2">
        <v>22</v>
      </c>
      <c r="C41" s="2">
        <v>22</v>
      </c>
      <c r="D41" s="2">
        <v>0</v>
      </c>
      <c r="E41" s="2">
        <v>2</v>
      </c>
      <c r="F41" s="2">
        <v>2</v>
      </c>
      <c r="G41" s="4">
        <v>50000</v>
      </c>
      <c r="H41" s="2"/>
    </row>
    <row r="42" spans="1:8">
      <c r="A42" s="2" t="s">
        <v>102</v>
      </c>
      <c r="B42" s="2">
        <v>22</v>
      </c>
      <c r="C42" s="2">
        <v>22</v>
      </c>
      <c r="D42" s="2">
        <v>0</v>
      </c>
      <c r="E42" s="2">
        <v>3</v>
      </c>
      <c r="F42" s="2">
        <v>5</v>
      </c>
      <c r="G42" s="4">
        <v>75000</v>
      </c>
      <c r="H42" s="2"/>
    </row>
    <row r="43" spans="1:8">
      <c r="A43" s="2" t="s">
        <v>104</v>
      </c>
      <c r="B43" s="2">
        <v>22</v>
      </c>
      <c r="C43" s="2">
        <v>21</v>
      </c>
      <c r="D43" s="2">
        <v>1</v>
      </c>
      <c r="E43" s="2">
        <v>0</v>
      </c>
      <c r="F43" s="2">
        <v>8</v>
      </c>
      <c r="G43" s="4">
        <v>100000</v>
      </c>
      <c r="H43" s="2"/>
    </row>
    <row r="44" spans="1:8">
      <c r="A44" s="2" t="s">
        <v>106</v>
      </c>
      <c r="B44" s="2">
        <v>22</v>
      </c>
      <c r="C44" s="2">
        <v>22</v>
      </c>
      <c r="D44" s="2">
        <v>0</v>
      </c>
      <c r="E44" s="2">
        <v>1</v>
      </c>
      <c r="F44" s="2">
        <v>11</v>
      </c>
      <c r="G44" s="4">
        <v>25000</v>
      </c>
      <c r="H44" s="2"/>
    </row>
    <row r="45" spans="1:8">
      <c r="A45" s="2" t="s">
        <v>108</v>
      </c>
      <c r="B45" s="2">
        <v>22</v>
      </c>
      <c r="C45" s="2">
        <v>22</v>
      </c>
      <c r="D45" s="2">
        <v>0</v>
      </c>
      <c r="E45" s="2">
        <v>2</v>
      </c>
      <c r="F45" s="2">
        <v>14</v>
      </c>
      <c r="G45" s="4">
        <v>50000</v>
      </c>
      <c r="H45" s="2"/>
    </row>
    <row r="46" spans="1:8">
      <c r="A46" s="2" t="s">
        <v>110</v>
      </c>
      <c r="B46" s="2">
        <v>22</v>
      </c>
      <c r="C46" s="2">
        <v>22</v>
      </c>
      <c r="D46" s="2">
        <v>0</v>
      </c>
      <c r="E46" s="2">
        <v>3</v>
      </c>
      <c r="F46" s="2">
        <v>17</v>
      </c>
      <c r="G46" s="4">
        <v>75000</v>
      </c>
      <c r="H46" s="2"/>
    </row>
    <row r="47" spans="1:8">
      <c r="A47" s="2" t="s">
        <v>112</v>
      </c>
      <c r="B47" s="2">
        <v>22</v>
      </c>
      <c r="C47" s="2">
        <v>21</v>
      </c>
      <c r="D47" s="2">
        <v>1</v>
      </c>
      <c r="E47" s="2">
        <v>0</v>
      </c>
      <c r="F47" s="2">
        <v>20</v>
      </c>
      <c r="G47" s="4">
        <v>100000</v>
      </c>
      <c r="H47" s="2"/>
    </row>
    <row r="48" spans="1:8">
      <c r="A48" s="2" t="s">
        <v>114</v>
      </c>
      <c r="B48" s="2">
        <v>22</v>
      </c>
      <c r="C48" s="2">
        <v>22</v>
      </c>
      <c r="D48" s="2">
        <v>0</v>
      </c>
      <c r="E48" s="2">
        <v>1</v>
      </c>
      <c r="F48" s="2">
        <v>23</v>
      </c>
      <c r="G48" s="4">
        <v>25000</v>
      </c>
      <c r="H48" s="2"/>
    </row>
    <row r="49" spans="1:8">
      <c r="A49" s="2" t="s">
        <v>116</v>
      </c>
      <c r="B49" s="2">
        <v>22</v>
      </c>
      <c r="C49" s="2">
        <v>22</v>
      </c>
      <c r="D49" s="2">
        <v>0</v>
      </c>
      <c r="E49" s="2">
        <v>2</v>
      </c>
      <c r="F49" s="2">
        <v>26</v>
      </c>
      <c r="G49" s="4">
        <v>50000</v>
      </c>
      <c r="H49" s="2"/>
    </row>
    <row r="50" spans="1:8">
      <c r="A50" s="2" t="s">
        <v>118</v>
      </c>
      <c r="B50" s="2">
        <v>22</v>
      </c>
      <c r="C50" s="2">
        <v>22</v>
      </c>
      <c r="D50" s="2">
        <v>0</v>
      </c>
      <c r="E50" s="2">
        <v>3</v>
      </c>
      <c r="F50" s="2">
        <v>1</v>
      </c>
      <c r="G50" s="4">
        <v>75000</v>
      </c>
      <c r="H50" s="2"/>
    </row>
    <row r="51" spans="1:8">
      <c r="A51" s="2" t="s">
        <v>120</v>
      </c>
      <c r="B51" s="2">
        <v>22</v>
      </c>
      <c r="C51" s="2">
        <v>21</v>
      </c>
      <c r="D51" s="2">
        <v>1</v>
      </c>
      <c r="E51" s="2">
        <v>0</v>
      </c>
      <c r="F51" s="2">
        <v>4</v>
      </c>
      <c r="G51" s="4">
        <v>100000</v>
      </c>
      <c r="H51" s="2"/>
    </row>
    <row r="52" spans="1:8">
      <c r="A52" s="2" t="s">
        <v>122</v>
      </c>
      <c r="B52" s="2">
        <v>22</v>
      </c>
      <c r="C52" s="2">
        <v>22</v>
      </c>
      <c r="D52" s="2">
        <v>0</v>
      </c>
      <c r="E52" s="2">
        <v>1</v>
      </c>
      <c r="F52" s="2">
        <v>7</v>
      </c>
      <c r="G52" s="4">
        <v>25000</v>
      </c>
      <c r="H52" s="2"/>
    </row>
    <row r="53" spans="1:8">
      <c r="A53" s="2" t="s">
        <v>124</v>
      </c>
      <c r="B53" s="2">
        <v>22</v>
      </c>
      <c r="C53" s="2">
        <v>22</v>
      </c>
      <c r="D53" s="2">
        <v>0</v>
      </c>
      <c r="E53" s="2">
        <v>2</v>
      </c>
      <c r="F53" s="2">
        <v>10</v>
      </c>
      <c r="G53" s="4">
        <v>50000</v>
      </c>
      <c r="H53" s="2"/>
    </row>
  </sheetData>
  <mergeCells count="1">
    <mergeCell ref="A1:H1"/>
  </mergeCells>
  <conditionalFormatting sqref="F4:F53">
    <cfRule type="cellIs" dxfId="0" priority="1" operator="greaterThan">
      <formula>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4"/>
  <sheetViews>
    <sheetView tabSelected="1" topLeftCell="A13" zoomScale="60" zoomScaleNormal="60" workbookViewId="0">
      <selection activeCell="O38" sqref="O38"/>
    </sheetView>
  </sheetViews>
  <sheetFormatPr defaultRowHeight="13.8"/>
  <cols>
    <col min="1" max="1" width="12" customWidth="1"/>
    <col min="2" max="2" width="22" customWidth="1"/>
    <col min="3" max="3" width="19" customWidth="1"/>
    <col min="4" max="4" width="12" customWidth="1"/>
    <col min="5" max="6" width="16" customWidth="1"/>
    <col min="7" max="9" width="15" customWidth="1"/>
    <col min="10" max="10" width="12" customWidth="1"/>
    <col min="11" max="14" width="17" customWidth="1"/>
    <col min="15" max="15" width="22" customWidth="1"/>
    <col min="16" max="16" width="28" customWidth="1"/>
  </cols>
  <sheetData>
    <row r="1" spans="1:16" ht="19.2">
      <c r="A1" s="6" t="s">
        <v>163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27.6">
      <c r="A4" s="1" t="s">
        <v>1</v>
      </c>
      <c r="B4" s="1" t="s">
        <v>2</v>
      </c>
      <c r="C4" s="1" t="s">
        <v>3</v>
      </c>
      <c r="D4" s="1" t="s">
        <v>6</v>
      </c>
      <c r="E4" s="1" t="s">
        <v>7</v>
      </c>
      <c r="F4" s="1" t="s">
        <v>8</v>
      </c>
      <c r="G4" s="1" t="s">
        <v>131</v>
      </c>
      <c r="H4" s="1" t="s">
        <v>136</v>
      </c>
      <c r="I4" s="1" t="s">
        <v>137</v>
      </c>
      <c r="J4" s="1" t="s">
        <v>129</v>
      </c>
      <c r="K4" s="1" t="s">
        <v>138</v>
      </c>
      <c r="L4" s="1" t="s">
        <v>132</v>
      </c>
      <c r="M4" s="1" t="s">
        <v>139</v>
      </c>
      <c r="N4" s="1" t="s">
        <v>140</v>
      </c>
      <c r="O4" s="1" t="s">
        <v>141</v>
      </c>
      <c r="P4" s="1" t="s">
        <v>142</v>
      </c>
    </row>
    <row r="5" spans="1:16">
      <c r="A5" s="2" t="s">
        <v>10</v>
      </c>
      <c r="B5" s="11" t="str">
        <f>IFERROR(VLOOKUP(A5,Employee_Master!$A$4:$B$53,2,FALSE),"ID NOT FOUND")</f>
        <v>Andi Pratama</v>
      </c>
      <c r="C5" s="11" t="str">
        <f>VLOOKUP(A5,Employee_Master!$A$4:$C$53,3,FALSE)</f>
        <v>Production</v>
      </c>
      <c r="D5" s="11" t="str">
        <f>VLOOKUP(A5,Employee_Master!$A$4:$F$53,6,FALSE)</f>
        <v>Active</v>
      </c>
      <c r="E5" s="12">
        <f>IFERROR(VLOOKUP(A5,Employee_Master!$A$4:$I$53,7,FALSE),0)</f>
        <v>5300000</v>
      </c>
      <c r="F5" s="12">
        <f>IFERROR(VLOOKUP(A5,Employee_Master!$A$4:$I$53,8,FALSE),0)</f>
        <v>350000</v>
      </c>
      <c r="G5" s="12">
        <f>VLOOKUP(A5,Attendance!A4:G4,6,FALSE)</f>
        <v>3</v>
      </c>
      <c r="H5" s="12">
        <f>IFERROR(VLOOKUP(A5,Employee_Master!$A$4:$I$53,9,FALSE),0)</f>
        <v>45000</v>
      </c>
      <c r="I5" s="12">
        <f>G5*H5</f>
        <v>135000</v>
      </c>
      <c r="J5" s="12">
        <f>IFERROR(VLOOKUP(A5,Attendance!$A$4:$G$53,4,FALSE),0)</f>
        <v>0</v>
      </c>
      <c r="K5" s="12">
        <f>IF(J5=0,250000,0)</f>
        <v>250000</v>
      </c>
      <c r="L5" s="12">
        <f>IFERROR(VLOOKUP(A5,Attendance!$A$4:$G$53,7,FALSE),0)</f>
        <v>25000</v>
      </c>
      <c r="M5" s="12">
        <f>SUM(E5:F5,I5,K5)</f>
        <v>6035000</v>
      </c>
      <c r="N5" s="12">
        <f>M5-L5</f>
        <v>6010000</v>
      </c>
      <c r="O5" s="11" t="str">
        <f>IF(D5&lt;&gt;"active","CHECK STATUS",IF(G5&gt;40,"CHECK OT","OK"))</f>
        <v>OK</v>
      </c>
      <c r="P5" s="11" t="str">
        <f>IF(O5="OK","Ready for review","Verify source data")</f>
        <v>Ready for review</v>
      </c>
    </row>
    <row r="6" spans="1:16">
      <c r="A6" s="2" t="s">
        <v>16</v>
      </c>
      <c r="B6" s="11" t="str">
        <f>IFERROR(VLOOKUP(A6,Employee_Master!$A$4:$B$53,2,FALSE),"ID NOT FOUND")</f>
        <v>Rina Putri</v>
      </c>
      <c r="C6" s="11" t="str">
        <f>VLOOKUP(A6,Employee_Master!$A$4:$C$53,3,FALSE)</f>
        <v>Quality Control</v>
      </c>
      <c r="D6" s="11" t="str">
        <f>VLOOKUP(A6,Employee_Master!$A$4:$F$53,6,FALSE)</f>
        <v>Active</v>
      </c>
      <c r="E6" s="12">
        <f>IFERROR(VLOOKUP(A6,Employee_Master!$A$4:$I$53,7,FALSE),0)</f>
        <v>6100000</v>
      </c>
      <c r="F6" s="12">
        <f>IFERROR(VLOOKUP(A6,Employee_Master!$A$4:$I$53,8,FALSE),0)</f>
        <v>450000</v>
      </c>
      <c r="G6" s="12">
        <f>VLOOKUP(A6,Attendance!A5:G5,6,FALSE)</f>
        <v>6</v>
      </c>
      <c r="H6" s="12">
        <f>IFERROR(VLOOKUP(A6,Employee_Master!$A$4:$I$53,9,FALSE),0)</f>
        <v>50000</v>
      </c>
      <c r="I6" s="12">
        <f t="shared" ref="I6:I54" si="0">G6*H6</f>
        <v>300000</v>
      </c>
      <c r="J6" s="12">
        <f>IFERROR(VLOOKUP(A6,Attendance!$A$4:$G$53,4,FALSE),0)</f>
        <v>0</v>
      </c>
      <c r="K6" s="12">
        <f t="shared" ref="K6:K54" si="1">IF(J6=0,250000,0)</f>
        <v>250000</v>
      </c>
      <c r="L6" s="12">
        <f>IFERROR(VLOOKUP(A6,Attendance!$A$4:$G$53,7,FALSE),0)</f>
        <v>50000</v>
      </c>
      <c r="M6" s="12">
        <f t="shared" ref="M6:M54" si="2">SUM(E6:F6,I6,K6)</f>
        <v>7100000</v>
      </c>
      <c r="N6" s="12">
        <f t="shared" ref="N6:N54" si="3">M6-L6</f>
        <v>7050000</v>
      </c>
      <c r="O6" s="11" t="str">
        <f t="shared" ref="O6:O54" si="4">IF(D6&lt;&gt;"active","CHECK STATUS",IF(G6&gt;40,"CHECK OT","OK"))</f>
        <v>OK</v>
      </c>
      <c r="P6" s="11" t="str">
        <f t="shared" ref="P6:P54" si="5">IF(O6="OK","Ready for review","Verify source data")</f>
        <v>Ready for review</v>
      </c>
    </row>
    <row r="7" spans="1:16">
      <c r="A7" s="2" t="s">
        <v>21</v>
      </c>
      <c r="B7" s="11" t="str">
        <f>IFERROR(VLOOKUP(A7,Employee_Master!$A$4:$B$53,2,FALSE),"ID NOT FOUND")</f>
        <v>Budi Santoso</v>
      </c>
      <c r="C7" s="11" t="str">
        <f>VLOOKUP(A7,Employee_Master!$A$4:$C$53,3,FALSE)</f>
        <v>Warehouse</v>
      </c>
      <c r="D7" s="11" t="str">
        <f>VLOOKUP(A7,Employee_Master!$A$4:$F$53,6,FALSE)</f>
        <v>Active</v>
      </c>
      <c r="E7" s="12">
        <f>IFERROR(VLOOKUP(A7,Employee_Master!$A$4:$I$53,7,FALSE),0)</f>
        <v>5600000</v>
      </c>
      <c r="F7" s="12">
        <f>IFERROR(VLOOKUP(A7,Employee_Master!$A$4:$I$53,8,FALSE),0)</f>
        <v>350000</v>
      </c>
      <c r="G7" s="12">
        <f>VLOOKUP(A7,Attendance!A6:G6,6,FALSE)</f>
        <v>9</v>
      </c>
      <c r="H7" s="12">
        <f>IFERROR(VLOOKUP(A7,Employee_Master!$A$4:$I$53,9,FALSE),0)</f>
        <v>45000</v>
      </c>
      <c r="I7" s="12">
        <f>G7*H7</f>
        <v>405000</v>
      </c>
      <c r="J7" s="12">
        <f>IFERROR(VLOOKUP(A7,Attendance!$A$4:$G$53,4,FALSE),0)</f>
        <v>0</v>
      </c>
      <c r="K7" s="12">
        <f t="shared" si="1"/>
        <v>250000</v>
      </c>
      <c r="L7" s="12">
        <f>IFERROR(VLOOKUP(A7,Attendance!$A$4:$G$53,7,FALSE),0)</f>
        <v>75000</v>
      </c>
      <c r="M7" s="12">
        <f t="shared" si="2"/>
        <v>6605000</v>
      </c>
      <c r="N7" s="12">
        <f t="shared" si="3"/>
        <v>6530000</v>
      </c>
      <c r="O7" s="11" t="str">
        <f t="shared" si="4"/>
        <v>OK</v>
      </c>
      <c r="P7" s="11" t="str">
        <f t="shared" si="5"/>
        <v>Ready for review</v>
      </c>
    </row>
    <row r="8" spans="1:16">
      <c r="A8" s="2" t="s">
        <v>25</v>
      </c>
      <c r="B8" s="11" t="str">
        <f>IFERROR(VLOOKUP(A8,Employee_Master!$A$4:$B$53,2,FALSE),"ID NOT FOUND")</f>
        <v>Sari Wulandari</v>
      </c>
      <c r="C8" s="11" t="str">
        <f>VLOOKUP(A8,Employee_Master!$A$4:$C$53,3,FALSE)</f>
        <v>Engineering</v>
      </c>
      <c r="D8" s="11" t="str">
        <f>VLOOKUP(A8,Employee_Master!$A$4:$F$53,6,FALSE)</f>
        <v>Active</v>
      </c>
      <c r="E8" s="12">
        <f>IFERROR(VLOOKUP(A8,Employee_Master!$A$4:$I$53,7,FALSE),0)</f>
        <v>6600000</v>
      </c>
      <c r="F8" s="12">
        <f>IFERROR(VLOOKUP(A8,Employee_Master!$A$4:$I$53,8,FALSE),0)</f>
        <v>500000</v>
      </c>
      <c r="G8" s="12">
        <f>VLOOKUP(A8,Attendance!A7:G7,6,FALSE)</f>
        <v>12</v>
      </c>
      <c r="H8" s="12">
        <f>IFERROR(VLOOKUP(A8,Employee_Master!$A$4:$I$53,9,FALSE),0)</f>
        <v>55000</v>
      </c>
      <c r="I8" s="12">
        <f t="shared" si="0"/>
        <v>660000</v>
      </c>
      <c r="J8" s="12">
        <f>IFERROR(VLOOKUP(A8,Attendance!$A$4:$G$53,4,FALSE),0)</f>
        <v>1</v>
      </c>
      <c r="K8" s="12">
        <f t="shared" si="1"/>
        <v>0</v>
      </c>
      <c r="L8" s="12">
        <f>IFERROR(VLOOKUP(A8,Attendance!$A$4:$G$53,7,FALSE),0)</f>
        <v>100000</v>
      </c>
      <c r="M8" s="12">
        <f t="shared" si="2"/>
        <v>7760000</v>
      </c>
      <c r="N8" s="12">
        <f t="shared" si="3"/>
        <v>7660000</v>
      </c>
      <c r="O8" s="11" t="str">
        <f t="shared" si="4"/>
        <v>OK</v>
      </c>
      <c r="P8" s="11" t="str">
        <f t="shared" si="5"/>
        <v>Ready for review</v>
      </c>
    </row>
    <row r="9" spans="1:16">
      <c r="A9" s="2" t="s">
        <v>29</v>
      </c>
      <c r="B9" s="11" t="str">
        <f>IFERROR(VLOOKUP(A9,Employee_Master!$A$4:$B$53,2,FALSE),"ID NOT FOUND")</f>
        <v>Dimas Saputra</v>
      </c>
      <c r="C9" s="11" t="str">
        <f>VLOOKUP(A9,Employee_Master!$A$4:$C$53,3,FALSE)</f>
        <v>Finance</v>
      </c>
      <c r="D9" s="11" t="str">
        <f>VLOOKUP(A9,Employee_Master!$A$4:$F$53,6,FALSE)</f>
        <v>Active</v>
      </c>
      <c r="E9" s="12">
        <f>IFERROR(VLOOKUP(A9,Employee_Master!$A$4:$I$53,7,FALSE),0)</f>
        <v>6100000</v>
      </c>
      <c r="F9" s="12">
        <f>IFERROR(VLOOKUP(A9,Employee_Master!$A$4:$I$53,8,FALSE),0)</f>
        <v>450000</v>
      </c>
      <c r="G9" s="12">
        <f>VLOOKUP(A9,Attendance!A8:G8,6,FALSE)</f>
        <v>15</v>
      </c>
      <c r="H9" s="12">
        <f>IFERROR(VLOOKUP(A9,Employee_Master!$A$4:$I$53,9,FALSE),0)</f>
        <v>50000</v>
      </c>
      <c r="I9" s="12">
        <f t="shared" si="0"/>
        <v>750000</v>
      </c>
      <c r="J9" s="12">
        <f>IFERROR(VLOOKUP(A9,Attendance!$A$4:$G$53,4,FALSE),0)</f>
        <v>0</v>
      </c>
      <c r="K9" s="12">
        <f t="shared" si="1"/>
        <v>250000</v>
      </c>
      <c r="L9" s="12">
        <f>IFERROR(VLOOKUP(A9,Attendance!$A$4:$G$53,7,FALSE),0)</f>
        <v>25000</v>
      </c>
      <c r="M9" s="12">
        <f t="shared" si="2"/>
        <v>7550000</v>
      </c>
      <c r="N9" s="12">
        <f t="shared" si="3"/>
        <v>7525000</v>
      </c>
      <c r="O9" s="11" t="str">
        <f t="shared" si="4"/>
        <v>OK</v>
      </c>
      <c r="P9" s="11" t="str">
        <f t="shared" si="5"/>
        <v>Ready for review</v>
      </c>
    </row>
    <row r="10" spans="1:16">
      <c r="A10" s="2" t="s">
        <v>33</v>
      </c>
      <c r="B10" s="11" t="str">
        <f>IFERROR(VLOOKUP(A10,Employee_Master!$A$4:$B$53,2,FALSE),"ID NOT FOUND")</f>
        <v>Nadia Lestari</v>
      </c>
      <c r="C10" s="11" t="str">
        <f>VLOOKUP(A10,Employee_Master!$A$4:$C$53,3,FALSE)</f>
        <v>HR</v>
      </c>
      <c r="D10" s="11" t="str">
        <f>VLOOKUP(A10,Employee_Master!$A$4:$F$53,6,FALSE)</f>
        <v>Active</v>
      </c>
      <c r="E10" s="12">
        <f>IFERROR(VLOOKUP(A10,Employee_Master!$A$4:$I$53,7,FALSE),0)</f>
        <v>6100000</v>
      </c>
      <c r="F10" s="12">
        <f>IFERROR(VLOOKUP(A10,Employee_Master!$A$4:$I$53,8,FALSE),0)</f>
        <v>450000</v>
      </c>
      <c r="G10" s="12">
        <f>VLOOKUP(A10,Attendance!A9:G9,6,FALSE)</f>
        <v>18</v>
      </c>
      <c r="H10" s="12">
        <f>IFERROR(VLOOKUP(A10,Employee_Master!$A$4:$I$53,9,FALSE),0)</f>
        <v>50000</v>
      </c>
      <c r="I10" s="12">
        <f t="shared" si="0"/>
        <v>900000</v>
      </c>
      <c r="J10" s="12">
        <f>IFERROR(VLOOKUP(A10,Attendance!$A$4:$G$53,4,FALSE),0)</f>
        <v>0</v>
      </c>
      <c r="K10" s="12">
        <f t="shared" si="1"/>
        <v>250000</v>
      </c>
      <c r="L10" s="12">
        <f>IFERROR(VLOOKUP(A10,Attendance!$A$4:$G$53,7,FALSE),0)</f>
        <v>50000</v>
      </c>
      <c r="M10" s="12">
        <f t="shared" si="2"/>
        <v>7700000</v>
      </c>
      <c r="N10" s="12">
        <f t="shared" si="3"/>
        <v>7650000</v>
      </c>
      <c r="O10" s="11" t="str">
        <f t="shared" si="4"/>
        <v>OK</v>
      </c>
      <c r="P10" s="11" t="str">
        <f t="shared" si="5"/>
        <v>Ready for review</v>
      </c>
    </row>
    <row r="11" spans="1:16">
      <c r="A11" s="2" t="s">
        <v>37</v>
      </c>
      <c r="B11" s="11" t="str">
        <f>IFERROR(VLOOKUP(A11,Employee_Master!$A$4:$B$53,2,FALSE),"ID NOT FOUND")</f>
        <v>Fajar Nugroho</v>
      </c>
      <c r="C11" s="11" t="str">
        <f>VLOOKUP(A11,Employee_Master!$A$4:$C$53,3,FALSE)</f>
        <v>Production</v>
      </c>
      <c r="D11" s="11" t="str">
        <f>VLOOKUP(A11,Employee_Master!$A$4:$F$53,6,FALSE)</f>
        <v>Active</v>
      </c>
      <c r="E11" s="12">
        <f>IFERROR(VLOOKUP(A11,Employee_Master!$A$4:$I$53,7,FALSE),0)</f>
        <v>5400000</v>
      </c>
      <c r="F11" s="12">
        <f>IFERROR(VLOOKUP(A11,Employee_Master!$A$4:$I$53,8,FALSE),0)</f>
        <v>350000</v>
      </c>
      <c r="G11" s="12">
        <f>VLOOKUP(A11,Attendance!A10:G10,6,FALSE)</f>
        <v>21</v>
      </c>
      <c r="H11" s="12">
        <f>IFERROR(VLOOKUP(A11,Employee_Master!$A$4:$I$53,9,FALSE),0)</f>
        <v>45000</v>
      </c>
      <c r="I11" s="12">
        <f t="shared" si="0"/>
        <v>945000</v>
      </c>
      <c r="J11" s="12">
        <f>IFERROR(VLOOKUP(A11,Attendance!$A$4:$G$53,4,FALSE),0)</f>
        <v>0</v>
      </c>
      <c r="K11" s="12">
        <f t="shared" si="1"/>
        <v>250000</v>
      </c>
      <c r="L11" s="12">
        <f>IFERROR(VLOOKUP(A11,Attendance!$A$4:$G$53,7,FALSE),0)</f>
        <v>75000</v>
      </c>
      <c r="M11" s="12">
        <f t="shared" si="2"/>
        <v>6945000</v>
      </c>
      <c r="N11" s="12">
        <f t="shared" si="3"/>
        <v>6870000</v>
      </c>
      <c r="O11" s="11" t="str">
        <f t="shared" si="4"/>
        <v>OK</v>
      </c>
      <c r="P11" s="11" t="str">
        <f t="shared" si="5"/>
        <v>Ready for review</v>
      </c>
    </row>
    <row r="12" spans="1:16">
      <c r="A12" s="2" t="s">
        <v>39</v>
      </c>
      <c r="B12" s="11" t="str">
        <f>IFERROR(VLOOKUP(A12,Employee_Master!$A$4:$B$53,2,FALSE),"ID NOT FOUND")</f>
        <v>Maya Anggraini</v>
      </c>
      <c r="C12" s="11" t="str">
        <f>VLOOKUP(A12,Employee_Master!$A$4:$C$53,3,FALSE)</f>
        <v>Quality Control</v>
      </c>
      <c r="D12" s="11" t="str">
        <f>VLOOKUP(A12,Employee_Master!$A$4:$F$53,6,FALSE)</f>
        <v>Active</v>
      </c>
      <c r="E12" s="12">
        <f>IFERROR(VLOOKUP(A12,Employee_Master!$A$4:$I$53,7,FALSE),0)</f>
        <v>6200000</v>
      </c>
      <c r="F12" s="12">
        <f>IFERROR(VLOOKUP(A12,Employee_Master!$A$4:$I$53,8,FALSE),0)</f>
        <v>450000</v>
      </c>
      <c r="G12" s="12">
        <f>VLOOKUP(A12,Attendance!A11:G11,6,FALSE)</f>
        <v>65</v>
      </c>
      <c r="H12" s="12">
        <f>IFERROR(VLOOKUP(A12,Employee_Master!$A$4:$I$53,9,FALSE),0)</f>
        <v>50000</v>
      </c>
      <c r="I12" s="12">
        <f t="shared" si="0"/>
        <v>3250000</v>
      </c>
      <c r="J12" s="12">
        <f>IFERROR(VLOOKUP(A12,Attendance!$A$4:$G$53,4,FALSE),0)</f>
        <v>1</v>
      </c>
      <c r="K12" s="12">
        <f t="shared" si="1"/>
        <v>0</v>
      </c>
      <c r="L12" s="12">
        <f>IFERROR(VLOOKUP(A12,Attendance!$A$4:$G$53,7,FALSE),0)</f>
        <v>100000</v>
      </c>
      <c r="M12" s="12">
        <f t="shared" si="2"/>
        <v>9900000</v>
      </c>
      <c r="N12" s="12">
        <f t="shared" si="3"/>
        <v>9800000</v>
      </c>
      <c r="O12" s="5" t="str">
        <f t="shared" si="4"/>
        <v>CHECK OT</v>
      </c>
      <c r="P12" s="11" t="str">
        <f t="shared" si="5"/>
        <v>Verify source data</v>
      </c>
    </row>
    <row r="13" spans="1:16">
      <c r="A13" s="2" t="s">
        <v>41</v>
      </c>
      <c r="B13" s="11" t="str">
        <f>IFERROR(VLOOKUP(A13,Employee_Master!$A$4:$B$53,2,FALSE),"ID NOT FOUND")</f>
        <v>Rizky Maulana</v>
      </c>
      <c r="C13" s="11" t="str">
        <f>VLOOKUP(A13,Employee_Master!$A$4:$C$53,3,FALSE)</f>
        <v>Warehouse</v>
      </c>
      <c r="D13" s="11" t="str">
        <f>VLOOKUP(A13,Employee_Master!$A$4:$F$53,6,FALSE)</f>
        <v>Active</v>
      </c>
      <c r="E13" s="12">
        <f>IFERROR(VLOOKUP(A13,Employee_Master!$A$4:$I$53,7,FALSE),0)</f>
        <v>5700000</v>
      </c>
      <c r="F13" s="12">
        <f>IFERROR(VLOOKUP(A13,Employee_Master!$A$4:$I$53,8,FALSE),0)</f>
        <v>350000</v>
      </c>
      <c r="G13" s="12">
        <f>VLOOKUP(A13,Attendance!A12:G12,6,FALSE)</f>
        <v>27</v>
      </c>
      <c r="H13" s="12">
        <f>IFERROR(VLOOKUP(A13,Employee_Master!$A$4:$I$53,9,FALSE),0)</f>
        <v>45000</v>
      </c>
      <c r="I13" s="12">
        <f t="shared" si="0"/>
        <v>1215000</v>
      </c>
      <c r="J13" s="12">
        <f>IFERROR(VLOOKUP(A13,Attendance!$A$4:$G$53,4,FALSE),0)</f>
        <v>0</v>
      </c>
      <c r="K13" s="12">
        <f t="shared" si="1"/>
        <v>250000</v>
      </c>
      <c r="L13" s="12">
        <f>IFERROR(VLOOKUP(A13,Attendance!$A$4:$G$53,7,FALSE),0)</f>
        <v>25000</v>
      </c>
      <c r="M13" s="12">
        <f t="shared" si="2"/>
        <v>7515000</v>
      </c>
      <c r="N13" s="12">
        <f t="shared" si="3"/>
        <v>7490000</v>
      </c>
      <c r="O13" s="11" t="str">
        <f t="shared" si="4"/>
        <v>OK</v>
      </c>
      <c r="P13" s="11" t="str">
        <f t="shared" si="5"/>
        <v>Ready for review</v>
      </c>
    </row>
    <row r="14" spans="1:16">
      <c r="A14" s="2" t="s">
        <v>43</v>
      </c>
      <c r="B14" s="11" t="str">
        <f>IFERROR(VLOOKUP(A14,Employee_Master!$A$4:$B$53,2,FALSE),"ID NOT FOUND")</f>
        <v>Dewi Kartika</v>
      </c>
      <c r="C14" s="11" t="str">
        <f>VLOOKUP(A14,Employee_Master!$A$4:$C$53,3,FALSE)</f>
        <v>Engineering</v>
      </c>
      <c r="D14" s="11" t="str">
        <f>VLOOKUP(A14,Employee_Master!$A$4:$F$53,6,FALSE)</f>
        <v>Active</v>
      </c>
      <c r="E14" s="12">
        <f>IFERROR(VLOOKUP(A14,Employee_Master!$A$4:$I$53,7,FALSE),0)</f>
        <v>6200000</v>
      </c>
      <c r="F14" s="12">
        <f>IFERROR(VLOOKUP(A14,Employee_Master!$A$4:$I$53,8,FALSE),0)</f>
        <v>500000</v>
      </c>
      <c r="G14" s="12">
        <f>VLOOKUP(A14,Attendance!A13:G13,6,FALSE)</f>
        <v>2</v>
      </c>
      <c r="H14" s="12">
        <f>IFERROR(VLOOKUP(A14,Employee_Master!$A$4:$I$53,9,FALSE),0)</f>
        <v>55000</v>
      </c>
      <c r="I14" s="12">
        <f t="shared" si="0"/>
        <v>110000</v>
      </c>
      <c r="J14" s="12">
        <f>IFERROR(VLOOKUP(A14,Attendance!$A$4:$G$53,4,FALSE),0)</f>
        <v>0</v>
      </c>
      <c r="K14" s="12">
        <f t="shared" si="1"/>
        <v>250000</v>
      </c>
      <c r="L14" s="12">
        <f>IFERROR(VLOOKUP(A14,Attendance!$A$4:$G$53,7,FALSE),0)</f>
        <v>50000</v>
      </c>
      <c r="M14" s="12">
        <f t="shared" si="2"/>
        <v>7060000</v>
      </c>
      <c r="N14" s="12">
        <f t="shared" si="3"/>
        <v>7010000</v>
      </c>
      <c r="O14" s="11" t="str">
        <f t="shared" si="4"/>
        <v>OK</v>
      </c>
      <c r="P14" s="11" t="str">
        <f t="shared" si="5"/>
        <v>Ready for review</v>
      </c>
    </row>
    <row r="15" spans="1:16">
      <c r="A15" s="2" t="s">
        <v>45</v>
      </c>
      <c r="B15" s="11" t="str">
        <f>IFERROR(VLOOKUP(A15,Employee_Master!$A$4:$B$53,2,FALSE),"ID NOT FOUND")</f>
        <v>Arif Hidayat</v>
      </c>
      <c r="C15" s="11" t="str">
        <f>VLOOKUP(A15,Employee_Master!$A$4:$C$53,3,FALSE)</f>
        <v>Finance</v>
      </c>
      <c r="D15" s="11" t="str">
        <f>VLOOKUP(A15,Employee_Master!$A$4:$F$53,6,FALSE)</f>
        <v>Active</v>
      </c>
      <c r="E15" s="12">
        <f>IFERROR(VLOOKUP(A15,Employee_Master!$A$4:$I$53,7,FALSE),0)</f>
        <v>6200000</v>
      </c>
      <c r="F15" s="12">
        <f>IFERROR(VLOOKUP(A15,Employee_Master!$A$4:$I$53,8,FALSE),0)</f>
        <v>450000</v>
      </c>
      <c r="G15" s="12">
        <f>VLOOKUP(A15,Attendance!A14:G14,6,FALSE)</f>
        <v>5</v>
      </c>
      <c r="H15" s="12">
        <f>IFERROR(VLOOKUP(A15,Employee_Master!$A$4:$I$53,9,FALSE),0)</f>
        <v>50000</v>
      </c>
      <c r="I15" s="12">
        <f t="shared" si="0"/>
        <v>250000</v>
      </c>
      <c r="J15" s="12">
        <f>IFERROR(VLOOKUP(A15,Attendance!$A$4:$G$53,4,FALSE),0)</f>
        <v>0</v>
      </c>
      <c r="K15" s="12">
        <f t="shared" si="1"/>
        <v>250000</v>
      </c>
      <c r="L15" s="12">
        <f>IFERROR(VLOOKUP(A15,Attendance!$A$4:$G$53,7,FALSE),0)</f>
        <v>75000</v>
      </c>
      <c r="M15" s="12">
        <f t="shared" si="2"/>
        <v>7150000</v>
      </c>
      <c r="N15" s="12">
        <f t="shared" si="3"/>
        <v>7075000</v>
      </c>
      <c r="O15" s="11" t="str">
        <f t="shared" si="4"/>
        <v>OK</v>
      </c>
      <c r="P15" s="11" t="str">
        <f t="shared" si="5"/>
        <v>Ready for review</v>
      </c>
    </row>
    <row r="16" spans="1:16">
      <c r="A16" s="2" t="s">
        <v>47</v>
      </c>
      <c r="B16" s="11" t="str">
        <f>IFERROR(VLOOKUP(A16,Employee_Master!$A$4:$B$53,2,FALSE),"ID NOT FOUND")</f>
        <v>Lina Marlina</v>
      </c>
      <c r="C16" s="11" t="str">
        <f>VLOOKUP(A16,Employee_Master!$A$4:$C$53,3,FALSE)</f>
        <v>HR</v>
      </c>
      <c r="D16" s="11" t="str">
        <f>VLOOKUP(A16,Employee_Master!$A$4:$F$53,6,FALSE)</f>
        <v>Active</v>
      </c>
      <c r="E16" s="12">
        <f>IFERROR(VLOOKUP(A16,Employee_Master!$A$4:$I$53,7,FALSE),0)</f>
        <v>6200000</v>
      </c>
      <c r="F16" s="12">
        <f>IFERROR(VLOOKUP(A16,Employee_Master!$A$4:$I$53,8,FALSE),0)</f>
        <v>450000</v>
      </c>
      <c r="G16" s="12">
        <f>VLOOKUP(A16,Attendance!A15:G15,6,FALSE)</f>
        <v>8</v>
      </c>
      <c r="H16" s="12">
        <f>IFERROR(VLOOKUP(A16,Employee_Master!$A$4:$I$53,9,FALSE),0)</f>
        <v>50000</v>
      </c>
      <c r="I16" s="12">
        <f t="shared" si="0"/>
        <v>400000</v>
      </c>
      <c r="J16" s="12">
        <f>IFERROR(VLOOKUP(A16,Attendance!$A$4:$G$53,4,FALSE),0)</f>
        <v>2</v>
      </c>
      <c r="K16" s="12">
        <f t="shared" si="1"/>
        <v>0</v>
      </c>
      <c r="L16" s="12">
        <f>IFERROR(VLOOKUP(A16,Attendance!$A$4:$G$53,7,FALSE),0)</f>
        <v>200000</v>
      </c>
      <c r="M16" s="12">
        <f t="shared" si="2"/>
        <v>7050000</v>
      </c>
      <c r="N16" s="12">
        <f t="shared" si="3"/>
        <v>6850000</v>
      </c>
      <c r="O16" s="11" t="str">
        <f t="shared" si="4"/>
        <v>OK</v>
      </c>
      <c r="P16" s="11" t="str">
        <f t="shared" si="5"/>
        <v>Ready for review</v>
      </c>
    </row>
    <row r="17" spans="1:16">
      <c r="A17" s="2" t="s">
        <v>49</v>
      </c>
      <c r="B17" s="11" t="str">
        <f>IFERROR(VLOOKUP(A17,Employee_Master!$A$4:$B$53,2,FALSE),"ID NOT FOUND")</f>
        <v>Bayu Ramadhan</v>
      </c>
      <c r="C17" s="11" t="str">
        <f>VLOOKUP(A17,Employee_Master!$A$4:$C$53,3,FALSE)</f>
        <v>Production</v>
      </c>
      <c r="D17" s="11" t="str">
        <f>VLOOKUP(A17,Employee_Master!$A$4:$F$53,6,FALSE)</f>
        <v>Active</v>
      </c>
      <c r="E17" s="12">
        <f>IFERROR(VLOOKUP(A17,Employee_Master!$A$4:$I$53,7,FALSE),0)</f>
        <v>5500000</v>
      </c>
      <c r="F17" s="12">
        <f>IFERROR(VLOOKUP(A17,Employee_Master!$A$4:$I$53,8,FALSE),0)</f>
        <v>350000</v>
      </c>
      <c r="G17" s="12">
        <f>VLOOKUP(A17,Attendance!A16:G16,6,FALSE)</f>
        <v>11</v>
      </c>
      <c r="H17" s="12">
        <f>IFERROR(VLOOKUP(A17,Employee_Master!$A$4:$I$53,9,FALSE),0)</f>
        <v>45000</v>
      </c>
      <c r="I17" s="12">
        <f t="shared" si="0"/>
        <v>495000</v>
      </c>
      <c r="J17" s="12">
        <f>IFERROR(VLOOKUP(A17,Attendance!$A$4:$G$53,4,FALSE),0)</f>
        <v>0</v>
      </c>
      <c r="K17" s="12">
        <f t="shared" si="1"/>
        <v>250000</v>
      </c>
      <c r="L17" s="12">
        <f>IFERROR(VLOOKUP(A17,Attendance!$A$4:$G$53,7,FALSE),0)</f>
        <v>25000</v>
      </c>
      <c r="M17" s="12">
        <f t="shared" si="2"/>
        <v>6595000</v>
      </c>
      <c r="N17" s="12">
        <f t="shared" si="3"/>
        <v>6570000</v>
      </c>
      <c r="O17" s="11" t="str">
        <f t="shared" si="4"/>
        <v>OK</v>
      </c>
      <c r="P17" s="11" t="str">
        <f t="shared" si="5"/>
        <v>Ready for review</v>
      </c>
    </row>
    <row r="18" spans="1:16">
      <c r="A18" s="2" t="s">
        <v>51</v>
      </c>
      <c r="B18" s="11" t="str">
        <f>IFERROR(VLOOKUP(A18,Employee_Master!$A$4:$B$53,2,FALSE),"ID NOT FOUND")</f>
        <v>Nisa Rahma</v>
      </c>
      <c r="C18" s="11" t="str">
        <f>VLOOKUP(A18,Employee_Master!$A$4:$C$53,3,FALSE)</f>
        <v>Quality Control</v>
      </c>
      <c r="D18" s="11" t="str">
        <f>VLOOKUP(A18,Employee_Master!$A$4:$F$53,6,FALSE)</f>
        <v>Active</v>
      </c>
      <c r="E18" s="12">
        <f>IFERROR(VLOOKUP(A18,Employee_Master!$A$4:$I$53,7,FALSE),0)</f>
        <v>6300000</v>
      </c>
      <c r="F18" s="12">
        <f>IFERROR(VLOOKUP(A18,Employee_Master!$A$4:$I$53,8,FALSE),0)</f>
        <v>450000</v>
      </c>
      <c r="G18" s="12">
        <f>VLOOKUP(A18,Attendance!A17:G17,6,FALSE)</f>
        <v>14</v>
      </c>
      <c r="H18" s="12">
        <f>IFERROR(VLOOKUP(A18,Employee_Master!$A$4:$I$53,9,FALSE),0)</f>
        <v>50000</v>
      </c>
      <c r="I18" s="12">
        <f t="shared" si="0"/>
        <v>700000</v>
      </c>
      <c r="J18" s="12">
        <f>IFERROR(VLOOKUP(A18,Attendance!$A$4:$G$53,4,FALSE),0)</f>
        <v>0</v>
      </c>
      <c r="K18" s="12">
        <f t="shared" si="1"/>
        <v>250000</v>
      </c>
      <c r="L18" s="12">
        <f>IFERROR(VLOOKUP(A18,Attendance!$A$4:$G$53,7,FALSE),0)</f>
        <v>50000</v>
      </c>
      <c r="M18" s="12">
        <f t="shared" si="2"/>
        <v>7700000</v>
      </c>
      <c r="N18" s="12">
        <f t="shared" si="3"/>
        <v>7650000</v>
      </c>
      <c r="O18" s="11" t="str">
        <f t="shared" si="4"/>
        <v>OK</v>
      </c>
      <c r="P18" s="11" t="str">
        <f t="shared" si="5"/>
        <v>Ready for review</v>
      </c>
    </row>
    <row r="19" spans="1:16">
      <c r="A19" s="2" t="s">
        <v>53</v>
      </c>
      <c r="B19" s="11" t="str">
        <f>IFERROR(VLOOKUP(A19,Employee_Master!$A$4:$B$53,2,FALSE),"ID NOT FOUND")</f>
        <v>Yoga Prabowo</v>
      </c>
      <c r="C19" s="11" t="str">
        <f>VLOOKUP(A19,Employee_Master!$A$4:$C$53,3,FALSE)</f>
        <v>Warehouse</v>
      </c>
      <c r="D19" s="11" t="str">
        <f>VLOOKUP(A19,Employee_Master!$A$4:$F$53,6,FALSE)</f>
        <v>Active</v>
      </c>
      <c r="E19" s="12">
        <f>IFERROR(VLOOKUP(A19,Employee_Master!$A$4:$I$53,7,FALSE),0)</f>
        <v>5300000</v>
      </c>
      <c r="F19" s="12">
        <f>IFERROR(VLOOKUP(A19,Employee_Master!$A$4:$I$53,8,FALSE),0)</f>
        <v>350000</v>
      </c>
      <c r="G19" s="12">
        <f>VLOOKUP(A19,Attendance!A18:G18,6,FALSE)</f>
        <v>17</v>
      </c>
      <c r="H19" s="12">
        <f>IFERROR(VLOOKUP(A19,Employee_Master!$A$4:$I$53,9,FALSE),0)</f>
        <v>45000</v>
      </c>
      <c r="I19" s="12">
        <f t="shared" si="0"/>
        <v>765000</v>
      </c>
      <c r="J19" s="12">
        <f>IFERROR(VLOOKUP(A19,Attendance!$A$4:$G$53,4,FALSE),0)</f>
        <v>0</v>
      </c>
      <c r="K19" s="12">
        <f t="shared" si="1"/>
        <v>250000</v>
      </c>
      <c r="L19" s="12">
        <f>IFERROR(VLOOKUP(A19,Attendance!$A$4:$G$53,7,FALSE),0)</f>
        <v>75000</v>
      </c>
      <c r="M19" s="12">
        <f t="shared" si="2"/>
        <v>6665000</v>
      </c>
      <c r="N19" s="12">
        <f t="shared" si="3"/>
        <v>6590000</v>
      </c>
      <c r="O19" s="11" t="str">
        <f t="shared" si="4"/>
        <v>OK</v>
      </c>
      <c r="P19" s="11" t="str">
        <f t="shared" si="5"/>
        <v>Ready for review</v>
      </c>
    </row>
    <row r="20" spans="1:16">
      <c r="A20" s="2" t="s">
        <v>55</v>
      </c>
      <c r="B20" s="11" t="str">
        <f>IFERROR(VLOOKUP(A20,Employee_Master!$A$4:$B$53,2,FALSE),"ID NOT FOUND")</f>
        <v>Tika Permata</v>
      </c>
      <c r="C20" s="11" t="str">
        <f>VLOOKUP(A20,Employee_Master!$A$4:$C$53,3,FALSE)</f>
        <v>Engineering</v>
      </c>
      <c r="D20" s="11" t="str">
        <f>VLOOKUP(A20,Employee_Master!$A$4:$F$53,6,FALSE)</f>
        <v>Active</v>
      </c>
      <c r="E20" s="12">
        <f>IFERROR(VLOOKUP(A20,Employee_Master!$A$4:$I$53,7,FALSE),0)</f>
        <v>6300000</v>
      </c>
      <c r="F20" s="12">
        <f>IFERROR(VLOOKUP(A20,Employee_Master!$A$4:$I$53,8,FALSE),0)</f>
        <v>500000</v>
      </c>
      <c r="G20" s="12">
        <f>VLOOKUP(A20,Attendance!A19:G19,6,FALSE)</f>
        <v>20</v>
      </c>
      <c r="H20" s="12">
        <f>IFERROR(VLOOKUP(A20,Employee_Master!$A$4:$I$53,9,FALSE),0)</f>
        <v>55000</v>
      </c>
      <c r="I20" s="12">
        <f t="shared" si="0"/>
        <v>1100000</v>
      </c>
      <c r="J20" s="12">
        <f>IFERROR(VLOOKUP(A20,Attendance!$A$4:$G$53,4,FALSE),0)</f>
        <v>1</v>
      </c>
      <c r="K20" s="12">
        <f t="shared" si="1"/>
        <v>0</v>
      </c>
      <c r="L20" s="12">
        <f>IFERROR(VLOOKUP(A20,Attendance!$A$4:$G$53,7,FALSE),0)</f>
        <v>100000</v>
      </c>
      <c r="M20" s="12">
        <f t="shared" si="2"/>
        <v>7900000</v>
      </c>
      <c r="N20" s="12">
        <f t="shared" si="3"/>
        <v>7800000</v>
      </c>
      <c r="O20" s="11" t="str">
        <f t="shared" si="4"/>
        <v>OK</v>
      </c>
      <c r="P20" s="11" t="str">
        <f t="shared" si="5"/>
        <v>Ready for review</v>
      </c>
    </row>
    <row r="21" spans="1:16">
      <c r="A21" s="2" t="s">
        <v>57</v>
      </c>
      <c r="B21" s="11" t="str">
        <f>IFERROR(VLOOKUP(A21,Employee_Master!$A$4:$B$53,2,FALSE),"ID NOT FOUND")</f>
        <v>Reza Kurniawan</v>
      </c>
      <c r="C21" s="11" t="str">
        <f>VLOOKUP(A21,Employee_Master!$A$4:$C$53,3,FALSE)</f>
        <v>Finance</v>
      </c>
      <c r="D21" s="11" t="str">
        <f>VLOOKUP(A21,Employee_Master!$A$4:$F$53,6,FALSE)</f>
        <v>Resigned</v>
      </c>
      <c r="E21" s="12">
        <f>IFERROR(VLOOKUP(A21,Employee_Master!$A$4:$I$53,7,FALSE),0)</f>
        <v>6300000</v>
      </c>
      <c r="F21" s="12">
        <f>IFERROR(VLOOKUP(A21,Employee_Master!$A$4:$I$53,8,FALSE),0)</f>
        <v>450000</v>
      </c>
      <c r="G21" s="12">
        <f>VLOOKUP(A21,Attendance!A20:G20,6,FALSE)</f>
        <v>23</v>
      </c>
      <c r="H21" s="12">
        <f>IFERROR(VLOOKUP(A21,Employee_Master!$A$4:$I$53,9,FALSE),0)</f>
        <v>50000</v>
      </c>
      <c r="I21" s="12">
        <f t="shared" si="0"/>
        <v>1150000</v>
      </c>
      <c r="J21" s="12">
        <f>IFERROR(VLOOKUP(A21,Attendance!$A$4:$G$53,4,FALSE),0)</f>
        <v>0</v>
      </c>
      <c r="K21" s="12">
        <f t="shared" si="1"/>
        <v>250000</v>
      </c>
      <c r="L21" s="12">
        <f>IFERROR(VLOOKUP(A21,Attendance!$A$4:$G$53,7,FALSE),0)</f>
        <v>25000</v>
      </c>
      <c r="M21" s="12">
        <f t="shared" si="2"/>
        <v>8150000</v>
      </c>
      <c r="N21" s="12">
        <f t="shared" si="3"/>
        <v>8125000</v>
      </c>
      <c r="O21" s="5" t="str">
        <f t="shared" si="4"/>
        <v>CHECK STATUS</v>
      </c>
      <c r="P21" s="11" t="str">
        <f t="shared" si="5"/>
        <v>Verify source data</v>
      </c>
    </row>
    <row r="22" spans="1:16">
      <c r="A22" s="2" t="s">
        <v>60</v>
      </c>
      <c r="B22" s="11" t="str">
        <f>IFERROR(VLOOKUP(A22,Employee_Master!$A$4:$B$53,2,FALSE),"ID NOT FOUND")</f>
        <v>Ayu Safitri</v>
      </c>
      <c r="C22" s="11" t="str">
        <f>VLOOKUP(A22,Employee_Master!$A$4:$C$53,3,FALSE)</f>
        <v>HR</v>
      </c>
      <c r="D22" s="11" t="str">
        <f>VLOOKUP(A22,Employee_Master!$A$4:$F$53,6,FALSE)</f>
        <v>Active</v>
      </c>
      <c r="E22" s="12">
        <f>IFERROR(VLOOKUP(A22,Employee_Master!$A$4:$I$53,7,FALSE),0)</f>
        <v>6300000</v>
      </c>
      <c r="F22" s="12">
        <f>IFERROR(VLOOKUP(A22,Employee_Master!$A$4:$I$53,8,FALSE),0)</f>
        <v>450000</v>
      </c>
      <c r="G22" s="12">
        <f>VLOOKUP(A22,Attendance!A21:G21,6,FALSE)</f>
        <v>26</v>
      </c>
      <c r="H22" s="12">
        <f>IFERROR(VLOOKUP(A22,Employee_Master!$A$4:$I$53,9,FALSE),0)</f>
        <v>50000</v>
      </c>
      <c r="I22" s="12">
        <f t="shared" si="0"/>
        <v>1300000</v>
      </c>
      <c r="J22" s="12">
        <f>IFERROR(VLOOKUP(A22,Attendance!$A$4:$G$53,4,FALSE),0)</f>
        <v>0</v>
      </c>
      <c r="K22" s="12">
        <f t="shared" si="1"/>
        <v>250000</v>
      </c>
      <c r="L22" s="12">
        <f>IFERROR(VLOOKUP(A22,Attendance!$A$4:$G$53,7,FALSE),0)</f>
        <v>50000</v>
      </c>
      <c r="M22" s="12">
        <f t="shared" si="2"/>
        <v>8300000</v>
      </c>
      <c r="N22" s="12">
        <f t="shared" si="3"/>
        <v>8250000</v>
      </c>
      <c r="O22" s="11" t="str">
        <f t="shared" si="4"/>
        <v>OK</v>
      </c>
      <c r="P22" s="11" t="str">
        <f t="shared" si="5"/>
        <v>Ready for review</v>
      </c>
    </row>
    <row r="23" spans="1:16">
      <c r="A23" s="2" t="s">
        <v>62</v>
      </c>
      <c r="B23" s="11" t="str">
        <f>IFERROR(VLOOKUP(A23,Employee_Master!$A$4:$B$53,2,FALSE),"ID NOT FOUND")</f>
        <v>Ilham Akbar</v>
      </c>
      <c r="C23" s="11" t="str">
        <f>VLOOKUP(A23,Employee_Master!$A$4:$C$53,3,FALSE)</f>
        <v>Production</v>
      </c>
      <c r="D23" s="11" t="str">
        <f>VLOOKUP(A23,Employee_Master!$A$4:$F$53,6,FALSE)</f>
        <v>Active</v>
      </c>
      <c r="E23" s="12">
        <f>IFERROR(VLOOKUP(A23,Employee_Master!$A$4:$I$53,7,FALSE),0)</f>
        <v>5600000</v>
      </c>
      <c r="F23" s="12">
        <f>IFERROR(VLOOKUP(A23,Employee_Master!$A$4:$I$53,8,FALSE),0)</f>
        <v>350000</v>
      </c>
      <c r="G23" s="12">
        <f>VLOOKUP(A23,Attendance!A22:G22,6,FALSE)</f>
        <v>1</v>
      </c>
      <c r="H23" s="12">
        <f>IFERROR(VLOOKUP(A23,Employee_Master!$A$4:$I$53,9,FALSE),0)</f>
        <v>45000</v>
      </c>
      <c r="I23" s="12">
        <f t="shared" si="0"/>
        <v>45000</v>
      </c>
      <c r="J23" s="12">
        <f>IFERROR(VLOOKUP(A23,Attendance!$A$4:$G$53,4,FALSE),0)</f>
        <v>0</v>
      </c>
      <c r="K23" s="12">
        <f t="shared" si="1"/>
        <v>250000</v>
      </c>
      <c r="L23" s="12">
        <f>IFERROR(VLOOKUP(A23,Attendance!$A$4:$G$53,7,FALSE),0)</f>
        <v>75000</v>
      </c>
      <c r="M23" s="12">
        <f t="shared" si="2"/>
        <v>6245000</v>
      </c>
      <c r="N23" s="12">
        <f t="shared" si="3"/>
        <v>6170000</v>
      </c>
      <c r="O23" s="11" t="str">
        <f t="shared" si="4"/>
        <v>OK</v>
      </c>
      <c r="P23" s="11" t="str">
        <f t="shared" si="5"/>
        <v>Ready for review</v>
      </c>
    </row>
    <row r="24" spans="1:16">
      <c r="A24" s="2" t="s">
        <v>64</v>
      </c>
      <c r="B24" s="11" t="str">
        <f>IFERROR(VLOOKUP(A24,Employee_Master!$A$4:$B$53,2,FALSE),"ID NOT FOUND")</f>
        <v>Citra Maharani</v>
      </c>
      <c r="C24" s="11" t="str">
        <f>VLOOKUP(A24,Employee_Master!$A$4:$C$53,3,FALSE)</f>
        <v>Quality Control</v>
      </c>
      <c r="D24" s="11" t="str">
        <f>VLOOKUP(A24,Employee_Master!$A$4:$F$53,6,FALSE)</f>
        <v>Active</v>
      </c>
      <c r="E24" s="12">
        <f>IFERROR(VLOOKUP(A24,Employee_Master!$A$4:$I$53,7,FALSE),0)</f>
        <v>5900000</v>
      </c>
      <c r="F24" s="12">
        <f>IFERROR(VLOOKUP(A24,Employee_Master!$A$4:$I$53,8,FALSE),0)</f>
        <v>450000</v>
      </c>
      <c r="G24" s="12">
        <f>VLOOKUP(A24,Attendance!A23:G23,6,FALSE)</f>
        <v>4</v>
      </c>
      <c r="H24" s="12">
        <f>IFERROR(VLOOKUP(A24,Employee_Master!$A$4:$I$53,9,FALSE),0)</f>
        <v>50000</v>
      </c>
      <c r="I24" s="12">
        <f t="shared" si="0"/>
        <v>200000</v>
      </c>
      <c r="J24" s="12">
        <f>IFERROR(VLOOKUP(A24,Attendance!$A$4:$G$53,4,FALSE),0)</f>
        <v>1</v>
      </c>
      <c r="K24" s="12">
        <f t="shared" si="1"/>
        <v>0</v>
      </c>
      <c r="L24" s="12">
        <f>IFERROR(VLOOKUP(A24,Attendance!$A$4:$G$53,7,FALSE),0)</f>
        <v>100000</v>
      </c>
      <c r="M24" s="12">
        <f t="shared" si="2"/>
        <v>6550000</v>
      </c>
      <c r="N24" s="12">
        <f t="shared" si="3"/>
        <v>6450000</v>
      </c>
      <c r="O24" s="11" t="str">
        <f t="shared" si="4"/>
        <v>OK</v>
      </c>
      <c r="P24" s="11" t="str">
        <f t="shared" si="5"/>
        <v>Ready for review</v>
      </c>
    </row>
    <row r="25" spans="1:16">
      <c r="A25" s="2" t="s">
        <v>66</v>
      </c>
      <c r="B25" s="11" t="str">
        <f>IFERROR(VLOOKUP(A25,Employee_Master!$A$4:$B$53,2,FALSE),"ID NOT FOUND")</f>
        <v>Rian Setiawan</v>
      </c>
      <c r="C25" s="11" t="str">
        <f>VLOOKUP(A25,Employee_Master!$A$4:$C$53,3,FALSE)</f>
        <v>Warehouse</v>
      </c>
      <c r="D25" s="11" t="str">
        <f>VLOOKUP(A25,Employee_Master!$A$4:$F$53,6,FALSE)</f>
        <v>Active</v>
      </c>
      <c r="E25" s="12">
        <f>IFERROR(VLOOKUP(A25,Employee_Master!$A$4:$I$53,7,FALSE),0)</f>
        <v>5400000</v>
      </c>
      <c r="F25" s="12">
        <f>IFERROR(VLOOKUP(A25,Employee_Master!$A$4:$I$53,8,FALSE),0)</f>
        <v>350000</v>
      </c>
      <c r="G25" s="12">
        <f>VLOOKUP(A25,Attendance!A24:G24,6,FALSE)</f>
        <v>7</v>
      </c>
      <c r="H25" s="12">
        <f>IFERROR(VLOOKUP(A25,Employee_Master!$A$4:$I$53,9,FALSE),0)</f>
        <v>45000</v>
      </c>
      <c r="I25" s="12">
        <f t="shared" si="0"/>
        <v>315000</v>
      </c>
      <c r="J25" s="12">
        <f>IFERROR(VLOOKUP(A25,Attendance!$A$4:$G$53,4,FALSE),0)</f>
        <v>0</v>
      </c>
      <c r="K25" s="12">
        <f t="shared" si="1"/>
        <v>250000</v>
      </c>
      <c r="L25" s="12">
        <f>IFERROR(VLOOKUP(A25,Attendance!$A$4:$G$53,7,FALSE),0)</f>
        <v>25000</v>
      </c>
      <c r="M25" s="12">
        <f t="shared" si="2"/>
        <v>6315000</v>
      </c>
      <c r="N25" s="12">
        <f t="shared" si="3"/>
        <v>6290000</v>
      </c>
      <c r="O25" s="11" t="str">
        <f t="shared" si="4"/>
        <v>OK</v>
      </c>
      <c r="P25" s="11" t="str">
        <f t="shared" si="5"/>
        <v>Ready for review</v>
      </c>
    </row>
    <row r="26" spans="1:16">
      <c r="A26" s="2" t="s">
        <v>68</v>
      </c>
      <c r="B26" s="11" t="str">
        <f>IFERROR(VLOOKUP(A26,Employee_Master!$A$4:$B$53,2,FALSE),"ID NOT FOUND")</f>
        <v>Putri Amelia</v>
      </c>
      <c r="C26" s="11" t="str">
        <f>VLOOKUP(A26,Employee_Master!$A$4:$C$53,3,FALSE)</f>
        <v>Engineering</v>
      </c>
      <c r="D26" s="11" t="str">
        <f>VLOOKUP(A26,Employee_Master!$A$4:$F$53,6,FALSE)</f>
        <v>Active</v>
      </c>
      <c r="E26" s="12">
        <f>IFERROR(VLOOKUP(A26,Employee_Master!$A$4:$I$53,7,FALSE),0)</f>
        <v>6400000</v>
      </c>
      <c r="F26" s="12">
        <f>IFERROR(VLOOKUP(A26,Employee_Master!$A$4:$I$53,8,FALSE),0)</f>
        <v>500000</v>
      </c>
      <c r="G26" s="12">
        <f>VLOOKUP(A26,Attendance!A25:G25,6,FALSE)</f>
        <v>10</v>
      </c>
      <c r="H26" s="12">
        <f>IFERROR(VLOOKUP(A26,Employee_Master!$A$4:$I$53,9,FALSE),0)</f>
        <v>55000</v>
      </c>
      <c r="I26" s="12">
        <f t="shared" si="0"/>
        <v>550000</v>
      </c>
      <c r="J26" s="12">
        <f>IFERROR(VLOOKUP(A26,Attendance!$A$4:$G$53,4,FALSE),0)</f>
        <v>0</v>
      </c>
      <c r="K26" s="12">
        <f t="shared" si="1"/>
        <v>250000</v>
      </c>
      <c r="L26" s="12">
        <f>IFERROR(VLOOKUP(A26,Attendance!$A$4:$G$53,7,FALSE),0)</f>
        <v>50000</v>
      </c>
      <c r="M26" s="12">
        <f t="shared" si="2"/>
        <v>7700000</v>
      </c>
      <c r="N26" s="12">
        <f t="shared" si="3"/>
        <v>7650000</v>
      </c>
      <c r="O26" s="11" t="str">
        <f t="shared" si="4"/>
        <v>OK</v>
      </c>
      <c r="P26" s="11" t="str">
        <f t="shared" si="5"/>
        <v>Ready for review</v>
      </c>
    </row>
    <row r="27" spans="1:16">
      <c r="A27" s="2" t="s">
        <v>70</v>
      </c>
      <c r="B27" s="11" t="str">
        <f>IFERROR(VLOOKUP(A27,Employee_Master!$A$4:$B$53,2,FALSE),"ID NOT FOUND")</f>
        <v>Doni Firmansyah</v>
      </c>
      <c r="C27" s="11" t="str">
        <f>VLOOKUP(A27,Employee_Master!$A$4:$C$53,3,FALSE)</f>
        <v>Finance</v>
      </c>
      <c r="D27" s="11" t="str">
        <f>VLOOKUP(A27,Employee_Master!$A$4:$F$53,6,FALSE)</f>
        <v>Active</v>
      </c>
      <c r="E27" s="12">
        <f>IFERROR(VLOOKUP(A27,Employee_Master!$A$4:$I$53,7,FALSE),0)</f>
        <v>6400000</v>
      </c>
      <c r="F27" s="12">
        <f>IFERROR(VLOOKUP(A27,Employee_Master!$A$4:$I$53,8,FALSE),0)</f>
        <v>450000</v>
      </c>
      <c r="G27" s="12">
        <f>VLOOKUP(A27,Attendance!A26:G26,6,FALSE)</f>
        <v>13</v>
      </c>
      <c r="H27" s="12">
        <f>IFERROR(VLOOKUP(A27,Employee_Master!$A$4:$I$53,9,FALSE),0)</f>
        <v>50000</v>
      </c>
      <c r="I27" s="12">
        <f t="shared" si="0"/>
        <v>650000</v>
      </c>
      <c r="J27" s="12">
        <f>IFERROR(VLOOKUP(A27,Attendance!$A$4:$G$53,4,FALSE),0)</f>
        <v>0</v>
      </c>
      <c r="K27" s="12">
        <f t="shared" si="1"/>
        <v>250000</v>
      </c>
      <c r="L27" s="12">
        <f>IFERROR(VLOOKUP(A27,Attendance!$A$4:$G$53,7,FALSE),0)</f>
        <v>75000</v>
      </c>
      <c r="M27" s="12">
        <f t="shared" si="2"/>
        <v>7750000</v>
      </c>
      <c r="N27" s="12">
        <f t="shared" si="3"/>
        <v>7675000</v>
      </c>
      <c r="O27" s="11" t="str">
        <f t="shared" si="4"/>
        <v>OK</v>
      </c>
      <c r="P27" s="11" t="str">
        <f t="shared" si="5"/>
        <v>Ready for review</v>
      </c>
    </row>
    <row r="28" spans="1:16">
      <c r="A28" s="2" t="s">
        <v>72</v>
      </c>
      <c r="B28" s="11" t="str">
        <f>IFERROR(VLOOKUP(A28,Employee_Master!$A$4:$B$53,2,FALSE),"ID NOT FOUND")</f>
        <v>Intan Puspita</v>
      </c>
      <c r="C28" s="11" t="str">
        <f>VLOOKUP(A28,Employee_Master!$A$4:$C$53,3,FALSE)</f>
        <v>HR</v>
      </c>
      <c r="D28" s="11" t="str">
        <f>VLOOKUP(A28,Employee_Master!$A$4:$F$53,6,FALSE)</f>
        <v>Active</v>
      </c>
      <c r="E28" s="12">
        <f>IFERROR(VLOOKUP(A28,Employee_Master!$A$4:$I$53,7,FALSE),0)</f>
        <v>6400000</v>
      </c>
      <c r="F28" s="12">
        <f>IFERROR(VLOOKUP(A28,Employee_Master!$A$4:$I$53,8,FALSE),0)</f>
        <v>450000</v>
      </c>
      <c r="G28" s="12">
        <f>VLOOKUP(A28,Attendance!A27:G27,6,FALSE)</f>
        <v>16</v>
      </c>
      <c r="H28" s="12">
        <f>IFERROR(VLOOKUP(A28,Employee_Master!$A$4:$I$53,9,FALSE),0)</f>
        <v>50000</v>
      </c>
      <c r="I28" s="12">
        <f t="shared" si="0"/>
        <v>800000</v>
      </c>
      <c r="J28" s="12">
        <f>IFERROR(VLOOKUP(A28,Attendance!$A$4:$G$53,4,FALSE),0)</f>
        <v>1</v>
      </c>
      <c r="K28" s="12">
        <f t="shared" si="1"/>
        <v>0</v>
      </c>
      <c r="L28" s="12">
        <f>IFERROR(VLOOKUP(A28,Attendance!$A$4:$G$53,7,FALSE),0)</f>
        <v>100000</v>
      </c>
      <c r="M28" s="12">
        <f t="shared" si="2"/>
        <v>7650000</v>
      </c>
      <c r="N28" s="12">
        <f t="shared" si="3"/>
        <v>7550000</v>
      </c>
      <c r="O28" s="11" t="str">
        <f t="shared" si="4"/>
        <v>OK</v>
      </c>
      <c r="P28" s="11" t="str">
        <f t="shared" si="5"/>
        <v>Ready for review</v>
      </c>
    </row>
    <row r="29" spans="1:16">
      <c r="A29" s="2" t="s">
        <v>74</v>
      </c>
      <c r="B29" s="11" t="str">
        <f>IFERROR(VLOOKUP(A29,Employee_Master!$A$4:$B$53,2,FALSE),"ID NOT FOUND")</f>
        <v>Eko Prasetyo</v>
      </c>
      <c r="C29" s="11" t="str">
        <f>VLOOKUP(A29,Employee_Master!$A$4:$C$53,3,FALSE)</f>
        <v>Production</v>
      </c>
      <c r="D29" s="11" t="str">
        <f>VLOOKUP(A29,Employee_Master!$A$4:$F$53,6,FALSE)</f>
        <v>Active</v>
      </c>
      <c r="E29" s="12">
        <f>IFERROR(VLOOKUP(A29,Employee_Master!$A$4:$I$53,7,FALSE),0)</f>
        <v>5200000</v>
      </c>
      <c r="F29" s="12">
        <f>IFERROR(VLOOKUP(A29,Employee_Master!$A$4:$I$53,8,FALSE),0)</f>
        <v>350000</v>
      </c>
      <c r="G29" s="12">
        <f>VLOOKUP(A29,Attendance!A28:G28,6,FALSE)</f>
        <v>19</v>
      </c>
      <c r="H29" s="12">
        <f>IFERROR(VLOOKUP(A29,Employee_Master!$A$4:$I$53,9,FALSE),0)</f>
        <v>45000</v>
      </c>
      <c r="I29" s="12">
        <f t="shared" si="0"/>
        <v>855000</v>
      </c>
      <c r="J29" s="12">
        <f>IFERROR(VLOOKUP(A29,Attendance!$A$4:$G$53,4,FALSE),0)</f>
        <v>0</v>
      </c>
      <c r="K29" s="12">
        <f t="shared" si="1"/>
        <v>250000</v>
      </c>
      <c r="L29" s="12">
        <f>IFERROR(VLOOKUP(A29,Attendance!$A$4:$G$53,7,FALSE),0)</f>
        <v>25000</v>
      </c>
      <c r="M29" s="12">
        <f t="shared" si="2"/>
        <v>6655000</v>
      </c>
      <c r="N29" s="12">
        <f t="shared" si="3"/>
        <v>6630000</v>
      </c>
      <c r="O29" s="11" t="str">
        <f t="shared" si="4"/>
        <v>OK</v>
      </c>
      <c r="P29" s="11" t="str">
        <f t="shared" si="5"/>
        <v>Ready for review</v>
      </c>
    </row>
    <row r="30" spans="1:16">
      <c r="A30" s="2" t="s">
        <v>76</v>
      </c>
      <c r="B30" s="11" t="str">
        <f>IFERROR(VLOOKUP(A30,Employee_Master!$A$4:$B$53,2,FALSE),"ID NOT FOUND")</f>
        <v>Vina Oktavia</v>
      </c>
      <c r="C30" s="11" t="str">
        <f>VLOOKUP(A30,Employee_Master!$A$4:$C$53,3,FALSE)</f>
        <v>Quality Control</v>
      </c>
      <c r="D30" s="11" t="str">
        <f>VLOOKUP(A30,Employee_Master!$A$4:$F$53,6,FALSE)</f>
        <v>Active</v>
      </c>
      <c r="E30" s="12">
        <f>IFERROR(VLOOKUP(A30,Employee_Master!$A$4:$I$53,7,FALSE),0)</f>
        <v>6000000</v>
      </c>
      <c r="F30" s="12">
        <f>IFERROR(VLOOKUP(A30,Employee_Master!$A$4:$I$53,8,FALSE),0)</f>
        <v>450000</v>
      </c>
      <c r="G30" s="12">
        <f>VLOOKUP(A30,Attendance!A29:G29,6,FALSE)</f>
        <v>22</v>
      </c>
      <c r="H30" s="12">
        <f>IFERROR(VLOOKUP(A30,Employee_Master!$A$4:$I$53,9,FALSE),0)</f>
        <v>50000</v>
      </c>
      <c r="I30" s="12">
        <f t="shared" si="0"/>
        <v>1100000</v>
      </c>
      <c r="J30" s="12">
        <f>IFERROR(VLOOKUP(A30,Attendance!$A$4:$G$53,4,FALSE),0)</f>
        <v>0</v>
      </c>
      <c r="K30" s="12">
        <f t="shared" si="1"/>
        <v>250000</v>
      </c>
      <c r="L30" s="12">
        <f>IFERROR(VLOOKUP(A30,Attendance!$A$4:$G$53,7,FALSE),0)</f>
        <v>50000</v>
      </c>
      <c r="M30" s="12">
        <f t="shared" si="2"/>
        <v>7800000</v>
      </c>
      <c r="N30" s="12">
        <f t="shared" si="3"/>
        <v>7750000</v>
      </c>
      <c r="O30" s="11" t="str">
        <f t="shared" si="4"/>
        <v>OK</v>
      </c>
      <c r="P30" s="11" t="str">
        <f t="shared" si="5"/>
        <v>Ready for review</v>
      </c>
    </row>
    <row r="31" spans="1:16">
      <c r="A31" s="2" t="s">
        <v>78</v>
      </c>
      <c r="B31" s="11" t="str">
        <f>IFERROR(VLOOKUP(A31,Employee_Master!$A$4:$B$53,2,FALSE),"ID NOT FOUND")</f>
        <v>Hendra Wijaya</v>
      </c>
      <c r="C31" s="11" t="str">
        <f>VLOOKUP(A31,Employee_Master!$A$4:$C$53,3,FALSE)</f>
        <v>Warehouse</v>
      </c>
      <c r="D31" s="11" t="str">
        <f>VLOOKUP(A31,Employee_Master!$A$4:$F$53,6,FALSE)</f>
        <v>Active</v>
      </c>
      <c r="E31" s="12">
        <f>IFERROR(VLOOKUP(A31,Employee_Master!$A$4:$I$53,7,FALSE),0)</f>
        <v>5500000</v>
      </c>
      <c r="F31" s="12">
        <f>IFERROR(VLOOKUP(A31,Employee_Master!$A$4:$I$53,8,FALSE),0)</f>
        <v>350000</v>
      </c>
      <c r="G31" s="12">
        <f>VLOOKUP(A31,Attendance!A30:G30,6,FALSE)</f>
        <v>25</v>
      </c>
      <c r="H31" s="12">
        <f>IFERROR(VLOOKUP(A31,Employee_Master!$A$4:$I$53,9,FALSE),0)</f>
        <v>45000</v>
      </c>
      <c r="I31" s="12">
        <f t="shared" si="0"/>
        <v>1125000</v>
      </c>
      <c r="J31" s="12">
        <f>IFERROR(VLOOKUP(A31,Attendance!$A$4:$G$53,4,FALSE),0)</f>
        <v>0</v>
      </c>
      <c r="K31" s="12">
        <f t="shared" si="1"/>
        <v>250000</v>
      </c>
      <c r="L31" s="12">
        <f>IFERROR(VLOOKUP(A31,Attendance!$A$4:$G$53,7,FALSE),0)</f>
        <v>75000</v>
      </c>
      <c r="M31" s="12">
        <f t="shared" si="2"/>
        <v>7225000</v>
      </c>
      <c r="N31" s="12">
        <f t="shared" si="3"/>
        <v>7150000</v>
      </c>
      <c r="O31" s="11" t="str">
        <f t="shared" si="4"/>
        <v>OK</v>
      </c>
      <c r="P31" s="11" t="str">
        <f t="shared" si="5"/>
        <v>Ready for review</v>
      </c>
    </row>
    <row r="32" spans="1:16">
      <c r="A32" s="2" t="s">
        <v>80</v>
      </c>
      <c r="B32" s="11" t="str">
        <f>IFERROR(VLOOKUP(A32,Employee_Master!$A$4:$B$53,2,FALSE),"ID NOT FOUND")</f>
        <v>Desi Natalia</v>
      </c>
      <c r="C32" s="11" t="str">
        <f>VLOOKUP(A32,Employee_Master!$A$4:$C$53,3,FALSE)</f>
        <v>Engineering</v>
      </c>
      <c r="D32" s="11" t="str">
        <f>VLOOKUP(A32,Employee_Master!$A$4:$F$53,6,FALSE)</f>
        <v>Active</v>
      </c>
      <c r="E32" s="12">
        <f>IFERROR(VLOOKUP(A32,Employee_Master!$A$4:$I$53,7,FALSE),0)</f>
        <v>6500000</v>
      </c>
      <c r="F32" s="12">
        <f>IFERROR(VLOOKUP(A32,Employee_Master!$A$4:$I$53,8,FALSE),0)</f>
        <v>500000</v>
      </c>
      <c r="G32" s="12">
        <f>VLOOKUP(A32,Attendance!A31:G31,6,FALSE)</f>
        <v>0</v>
      </c>
      <c r="H32" s="12">
        <f>IFERROR(VLOOKUP(A32,Employee_Master!$A$4:$I$53,9,FALSE),0)</f>
        <v>55000</v>
      </c>
      <c r="I32" s="12">
        <f t="shared" si="0"/>
        <v>0</v>
      </c>
      <c r="J32" s="12">
        <f>IFERROR(VLOOKUP(A32,Attendance!$A$4:$G$53,4,FALSE),0)</f>
        <v>1</v>
      </c>
      <c r="K32" s="12">
        <f t="shared" si="1"/>
        <v>0</v>
      </c>
      <c r="L32" s="12">
        <f>IFERROR(VLOOKUP(A32,Attendance!$A$4:$G$53,7,FALSE),0)</f>
        <v>100000</v>
      </c>
      <c r="M32" s="12">
        <f t="shared" si="2"/>
        <v>7000000</v>
      </c>
      <c r="N32" s="12">
        <f t="shared" si="3"/>
        <v>6900000</v>
      </c>
      <c r="O32" s="11" t="str">
        <f t="shared" si="4"/>
        <v>OK</v>
      </c>
      <c r="P32" s="11" t="str">
        <f t="shared" si="5"/>
        <v>Ready for review</v>
      </c>
    </row>
    <row r="33" spans="1:16">
      <c r="A33" s="2" t="s">
        <v>82</v>
      </c>
      <c r="B33" s="11" t="str">
        <f>IFERROR(VLOOKUP(A33,Employee_Master!$A$4:$B$53,2,FALSE),"ID NOT FOUND")</f>
        <v>Agus Salim</v>
      </c>
      <c r="C33" s="11" t="str">
        <f>VLOOKUP(A33,Employee_Master!$A$4:$C$53,3,FALSE)</f>
        <v>Finance</v>
      </c>
      <c r="D33" s="11" t="str">
        <f>VLOOKUP(A33,Employee_Master!$A$4:$F$53,6,FALSE)</f>
        <v>Active</v>
      </c>
      <c r="E33" s="12">
        <f>IFERROR(VLOOKUP(A33,Employee_Master!$A$4:$I$53,7,FALSE),0)</f>
        <v>6500000</v>
      </c>
      <c r="F33" s="12">
        <f>IFERROR(VLOOKUP(A33,Employee_Master!$A$4:$I$53,8,FALSE),0)</f>
        <v>450000</v>
      </c>
      <c r="G33" s="12">
        <f>VLOOKUP(A33,Attendance!A32:G32,6,FALSE)</f>
        <v>3</v>
      </c>
      <c r="H33" s="12">
        <f>IFERROR(VLOOKUP(A33,Employee_Master!$A$4:$I$53,9,FALSE),0)</f>
        <v>50000</v>
      </c>
      <c r="I33" s="12">
        <f t="shared" si="0"/>
        <v>150000</v>
      </c>
      <c r="J33" s="12">
        <f>IFERROR(VLOOKUP(A33,Attendance!$A$4:$G$53,4,FALSE),0)</f>
        <v>2</v>
      </c>
      <c r="K33" s="12">
        <f t="shared" si="1"/>
        <v>0</v>
      </c>
      <c r="L33" s="12">
        <f>IFERROR(VLOOKUP(A33,Attendance!$A$4:$G$53,7,FALSE),0)</f>
        <v>225000</v>
      </c>
      <c r="M33" s="12">
        <f t="shared" si="2"/>
        <v>7100000</v>
      </c>
      <c r="N33" s="12">
        <f t="shared" si="3"/>
        <v>6875000</v>
      </c>
      <c r="O33" s="11" t="str">
        <f t="shared" si="4"/>
        <v>OK</v>
      </c>
      <c r="P33" s="11" t="str">
        <f t="shared" si="5"/>
        <v>Ready for review</v>
      </c>
    </row>
    <row r="34" spans="1:16">
      <c r="A34" s="2" t="s">
        <v>84</v>
      </c>
      <c r="B34" s="11" t="str">
        <f>IFERROR(VLOOKUP(A34,Employee_Master!$A$4:$B$53,2,FALSE),"ID NOT FOUND")</f>
        <v>Mira Handayani</v>
      </c>
      <c r="C34" s="11" t="str">
        <f>VLOOKUP(A34,Employee_Master!$A$4:$C$53,3,FALSE)</f>
        <v>HR</v>
      </c>
      <c r="D34" s="11" t="str">
        <f>VLOOKUP(A34,Employee_Master!$A$4:$F$53,6,FALSE)</f>
        <v>Active</v>
      </c>
      <c r="E34" s="12">
        <f>IFERROR(VLOOKUP(A34,Employee_Master!$A$4:$I$53,7,FALSE),0)</f>
        <v>6000000</v>
      </c>
      <c r="F34" s="12">
        <f>IFERROR(VLOOKUP(A34,Employee_Master!$A$4:$I$53,8,FALSE),0)</f>
        <v>450000</v>
      </c>
      <c r="G34" s="12">
        <f>VLOOKUP(A34,Attendance!A33:G33,6,FALSE)</f>
        <v>6</v>
      </c>
      <c r="H34" s="12">
        <f>IFERROR(VLOOKUP(A34,Employee_Master!$A$4:$I$53,9,FALSE),0)</f>
        <v>50000</v>
      </c>
      <c r="I34" s="12">
        <f t="shared" si="0"/>
        <v>300000</v>
      </c>
      <c r="J34" s="12">
        <f>IFERROR(VLOOKUP(A34,Attendance!$A$4:$G$53,4,FALSE),0)</f>
        <v>0</v>
      </c>
      <c r="K34" s="12">
        <f t="shared" si="1"/>
        <v>250000</v>
      </c>
      <c r="L34" s="12">
        <f>IFERROR(VLOOKUP(A34,Attendance!$A$4:$G$53,7,FALSE),0)</f>
        <v>50000</v>
      </c>
      <c r="M34" s="12">
        <f t="shared" si="2"/>
        <v>7000000</v>
      </c>
      <c r="N34" s="12">
        <f t="shared" si="3"/>
        <v>6950000</v>
      </c>
      <c r="O34" s="11" t="str">
        <f t="shared" si="4"/>
        <v>OK</v>
      </c>
      <c r="P34" s="11" t="str">
        <f t="shared" si="5"/>
        <v>Ready for review</v>
      </c>
    </row>
    <row r="35" spans="1:16">
      <c r="A35" s="2" t="s">
        <v>86</v>
      </c>
      <c r="B35" s="11" t="str">
        <f>IFERROR(VLOOKUP(A35,Employee_Master!$A$4:$B$53,2,FALSE),"ID NOT FOUND")</f>
        <v>Wahyu Saputro</v>
      </c>
      <c r="C35" s="11" t="str">
        <f>VLOOKUP(A35,Employee_Master!$A$4:$C$53,3,FALSE)</f>
        <v>Production</v>
      </c>
      <c r="D35" s="11" t="str">
        <f>VLOOKUP(A35,Employee_Master!$A$4:$F$53,6,FALSE)</f>
        <v>Active</v>
      </c>
      <c r="E35" s="12">
        <f>IFERROR(VLOOKUP(A35,Employee_Master!$A$4:$I$53,7,FALSE),0)</f>
        <v>5300000</v>
      </c>
      <c r="F35" s="12">
        <f>IFERROR(VLOOKUP(A35,Employee_Master!$A$4:$I$53,8,FALSE),0)</f>
        <v>350000</v>
      </c>
      <c r="G35" s="12">
        <f>VLOOKUP(A35,Attendance!A34:G34,6,FALSE)</f>
        <v>9</v>
      </c>
      <c r="H35" s="12">
        <f>IFERROR(VLOOKUP(A35,Employee_Master!$A$4:$I$53,9,FALSE),0)</f>
        <v>45000</v>
      </c>
      <c r="I35" s="12">
        <f t="shared" si="0"/>
        <v>405000</v>
      </c>
      <c r="J35" s="12">
        <f>IFERROR(VLOOKUP(A35,Attendance!$A$4:$G$53,4,FALSE),0)</f>
        <v>0</v>
      </c>
      <c r="K35" s="12">
        <f t="shared" si="1"/>
        <v>250000</v>
      </c>
      <c r="L35" s="12">
        <f>IFERROR(VLOOKUP(A35,Attendance!$A$4:$G$53,7,FALSE),0)</f>
        <v>75000</v>
      </c>
      <c r="M35" s="12">
        <f t="shared" si="2"/>
        <v>6305000</v>
      </c>
      <c r="N35" s="12">
        <f t="shared" si="3"/>
        <v>6230000</v>
      </c>
      <c r="O35" s="11" t="str">
        <f t="shared" si="4"/>
        <v>OK</v>
      </c>
      <c r="P35" s="11" t="str">
        <f t="shared" si="5"/>
        <v>Ready for review</v>
      </c>
    </row>
    <row r="36" spans="1:16">
      <c r="A36" s="2" t="s">
        <v>88</v>
      </c>
      <c r="B36" s="11" t="str">
        <f>IFERROR(VLOOKUP(A36,Employee_Master!$A$4:$B$53,2,FALSE),"ID NOT FOUND")</f>
        <v>Sinta Dewi</v>
      </c>
      <c r="C36" s="11" t="str">
        <f>VLOOKUP(A36,Employee_Master!$A$4:$C$53,3,FALSE)</f>
        <v>Quality Control</v>
      </c>
      <c r="D36" s="11" t="str">
        <f>VLOOKUP(A36,Employee_Master!$A$4:$F$53,6,FALSE)</f>
        <v>Active</v>
      </c>
      <c r="E36" s="12">
        <f>IFERROR(VLOOKUP(A36,Employee_Master!$A$4:$I$53,7,FALSE),0)</f>
        <v>6100000</v>
      </c>
      <c r="F36" s="12">
        <f>IFERROR(VLOOKUP(A36,Employee_Master!$A$4:$I$53,8,FALSE),0)</f>
        <v>450000</v>
      </c>
      <c r="G36" s="12">
        <f>VLOOKUP(A36,Attendance!A35:G35,6,FALSE)</f>
        <v>12</v>
      </c>
      <c r="H36" s="12">
        <f>IFERROR(VLOOKUP(A36,Employee_Master!$A$4:$I$53,9,FALSE),0)</f>
        <v>50000</v>
      </c>
      <c r="I36" s="12">
        <f t="shared" si="0"/>
        <v>600000</v>
      </c>
      <c r="J36" s="12">
        <f>IFERROR(VLOOKUP(A36,Attendance!$A$4:$G$53,4,FALSE),0)</f>
        <v>1</v>
      </c>
      <c r="K36" s="12">
        <f t="shared" si="1"/>
        <v>0</v>
      </c>
      <c r="L36" s="12">
        <f>IFERROR(VLOOKUP(A36,Attendance!$A$4:$G$53,7,FALSE),0)</f>
        <v>100000</v>
      </c>
      <c r="M36" s="12">
        <f t="shared" si="2"/>
        <v>7150000</v>
      </c>
      <c r="N36" s="12">
        <f t="shared" si="3"/>
        <v>7050000</v>
      </c>
      <c r="O36" s="11" t="str">
        <f t="shared" si="4"/>
        <v>OK</v>
      </c>
      <c r="P36" s="11" t="str">
        <f t="shared" si="5"/>
        <v>Ready for review</v>
      </c>
    </row>
    <row r="37" spans="1:16">
      <c r="A37" s="2" t="s">
        <v>90</v>
      </c>
      <c r="B37" s="11" t="str">
        <f>IFERROR(VLOOKUP(A37,Employee_Master!$A$4:$B$53,2,FALSE),"ID NOT FOUND")</f>
        <v>Rudi Hartono</v>
      </c>
      <c r="C37" s="11" t="str">
        <f>VLOOKUP(A37,Employee_Master!$A$4:$C$53,3,FALSE)</f>
        <v>Warehouse</v>
      </c>
      <c r="D37" s="11" t="str">
        <f>VLOOKUP(A37,Employee_Master!$A$4:$F$53,6,FALSE)</f>
        <v>Active</v>
      </c>
      <c r="E37" s="12">
        <f>IFERROR(VLOOKUP(A37,Employee_Master!$A$4:$I$53,7,FALSE),0)</f>
        <v>5600000</v>
      </c>
      <c r="F37" s="12">
        <f>IFERROR(VLOOKUP(A37,Employee_Master!$A$4:$I$53,8,FALSE),0)</f>
        <v>350000</v>
      </c>
      <c r="G37" s="12">
        <f>VLOOKUP(A37,Attendance!A36:G36,6,FALSE)</f>
        <v>15</v>
      </c>
      <c r="H37" s="12">
        <f>IFERROR(VLOOKUP(A37,Employee_Master!$A$4:$I$53,9,FALSE),0)</f>
        <v>45000</v>
      </c>
      <c r="I37" s="12">
        <f t="shared" si="0"/>
        <v>675000</v>
      </c>
      <c r="J37" s="12">
        <f>IFERROR(VLOOKUP(A37,Attendance!$A$4:$G$53,4,FALSE),0)</f>
        <v>0</v>
      </c>
      <c r="K37" s="12">
        <f t="shared" si="1"/>
        <v>250000</v>
      </c>
      <c r="L37" s="12">
        <f>IFERROR(VLOOKUP(A37,Attendance!$A$4:$G$53,7,FALSE),0)</f>
        <v>25000</v>
      </c>
      <c r="M37" s="12">
        <f t="shared" si="2"/>
        <v>6875000</v>
      </c>
      <c r="N37" s="12">
        <f t="shared" si="3"/>
        <v>6850000</v>
      </c>
      <c r="O37" s="11" t="str">
        <f t="shared" si="4"/>
        <v>OK</v>
      </c>
      <c r="P37" s="11" t="str">
        <f t="shared" si="5"/>
        <v>Ready for review</v>
      </c>
    </row>
    <row r="38" spans="1:16">
      <c r="A38" s="2" t="s">
        <v>92</v>
      </c>
      <c r="B38" s="11" t="str">
        <f>IFERROR(VLOOKUP(A38,Employee_Master!$A$4:$B$53,2,FALSE),"ID NOT FOUND")</f>
        <v>Nina Kurnia</v>
      </c>
      <c r="C38" s="11" t="str">
        <f>VLOOKUP(A38,Employee_Master!$A$4:$C$53,3,FALSE)</f>
        <v>Engineering</v>
      </c>
      <c r="D38" s="11" t="str">
        <f>VLOOKUP(A38,Employee_Master!$A$4:$F$53,6,FALSE)</f>
        <v>Resigned</v>
      </c>
      <c r="E38" s="12">
        <f>IFERROR(VLOOKUP(A38,Employee_Master!$A$4:$I$53,7,FALSE),0)</f>
        <v>6600000</v>
      </c>
      <c r="F38" s="12">
        <f>IFERROR(VLOOKUP(A38,Employee_Master!$A$4:$I$53,8,FALSE),0)</f>
        <v>500000</v>
      </c>
      <c r="G38" s="12">
        <f>VLOOKUP(A38,Attendance!A37:G37,6,FALSE)</f>
        <v>10</v>
      </c>
      <c r="H38" s="12">
        <f>IFERROR(VLOOKUP(A38,Employee_Master!$A$4:$I$53,9,FALSE),0)</f>
        <v>55000</v>
      </c>
      <c r="I38" s="12">
        <f t="shared" si="0"/>
        <v>550000</v>
      </c>
      <c r="J38" s="12">
        <f>IFERROR(VLOOKUP(A38,Attendance!$A$4:$G$53,4,FALSE),0)</f>
        <v>0</v>
      </c>
      <c r="K38" s="12">
        <f t="shared" si="1"/>
        <v>250000</v>
      </c>
      <c r="L38" s="12">
        <f>IFERROR(VLOOKUP(A38,Attendance!$A$4:$G$53,7,FALSE),0)</f>
        <v>50000</v>
      </c>
      <c r="M38" s="12">
        <f t="shared" si="2"/>
        <v>7900000</v>
      </c>
      <c r="N38" s="12">
        <f t="shared" si="3"/>
        <v>7850000</v>
      </c>
      <c r="O38" s="5" t="str">
        <f t="shared" si="4"/>
        <v>CHECK STATUS</v>
      </c>
      <c r="P38" s="11" t="str">
        <f t="shared" si="5"/>
        <v>Verify source data</v>
      </c>
    </row>
    <row r="39" spans="1:16">
      <c r="A39" s="2" t="s">
        <v>94</v>
      </c>
      <c r="B39" s="11" t="str">
        <f>IFERROR(VLOOKUP(A39,Employee_Master!$A$4:$B$53,2,FALSE),"ID NOT FOUND")</f>
        <v>Yusuf Maulana</v>
      </c>
      <c r="C39" s="11" t="str">
        <f>VLOOKUP(A39,Employee_Master!$A$4:$C$53,3,FALSE)</f>
        <v>Finance</v>
      </c>
      <c r="D39" s="11" t="str">
        <f>VLOOKUP(A39,Employee_Master!$A$4:$F$53,6,FALSE)</f>
        <v>Active</v>
      </c>
      <c r="E39" s="12">
        <f>IFERROR(VLOOKUP(A39,Employee_Master!$A$4:$I$53,7,FALSE),0)</f>
        <v>6100000</v>
      </c>
      <c r="F39" s="12">
        <f>IFERROR(VLOOKUP(A39,Employee_Master!$A$4:$I$53,8,FALSE),0)</f>
        <v>450000</v>
      </c>
      <c r="G39" s="12">
        <f>VLOOKUP(A39,Attendance!A38:G38,6,FALSE)</f>
        <v>21</v>
      </c>
      <c r="H39" s="12">
        <f>IFERROR(VLOOKUP(A39,Employee_Master!$A$4:$I$53,9,FALSE),0)</f>
        <v>50000</v>
      </c>
      <c r="I39" s="12">
        <f t="shared" si="0"/>
        <v>1050000</v>
      </c>
      <c r="J39" s="12">
        <f>IFERROR(VLOOKUP(A39,Attendance!$A$4:$G$53,4,FALSE),0)</f>
        <v>0</v>
      </c>
      <c r="K39" s="12">
        <f t="shared" si="1"/>
        <v>250000</v>
      </c>
      <c r="L39" s="12">
        <f>IFERROR(VLOOKUP(A39,Attendance!$A$4:$G$53,7,FALSE),0)</f>
        <v>75000</v>
      </c>
      <c r="M39" s="12">
        <f t="shared" si="2"/>
        <v>7850000</v>
      </c>
      <c r="N39" s="12">
        <f t="shared" si="3"/>
        <v>7775000</v>
      </c>
      <c r="O39" s="11" t="str">
        <f t="shared" si="4"/>
        <v>OK</v>
      </c>
      <c r="P39" s="11" t="str">
        <f t="shared" si="5"/>
        <v>Ready for review</v>
      </c>
    </row>
    <row r="40" spans="1:16">
      <c r="A40" s="2" t="s">
        <v>96</v>
      </c>
      <c r="B40" s="11" t="str">
        <f>IFERROR(VLOOKUP(A40,Employee_Master!$A$4:$B$53,2,FALSE),"ID NOT FOUND")</f>
        <v>Fitriani Putri</v>
      </c>
      <c r="C40" s="11" t="str">
        <f>VLOOKUP(A40,Employee_Master!$A$4:$C$53,3,FALSE)</f>
        <v>HR</v>
      </c>
      <c r="D40" s="11" t="str">
        <f>VLOOKUP(A40,Employee_Master!$A$4:$F$53,6,FALSE)</f>
        <v>Active</v>
      </c>
      <c r="E40" s="12">
        <f>IFERROR(VLOOKUP(A40,Employee_Master!$A$4:$I$53,7,FALSE),0)</f>
        <v>6100000</v>
      </c>
      <c r="F40" s="12">
        <f>IFERROR(VLOOKUP(A40,Employee_Master!$A$4:$I$53,8,FALSE),0)</f>
        <v>450000</v>
      </c>
      <c r="G40" s="12">
        <f>VLOOKUP(A40,Attendance!A39:G39,6,FALSE)</f>
        <v>24</v>
      </c>
      <c r="H40" s="12">
        <f>IFERROR(VLOOKUP(A40,Employee_Master!$A$4:$I$53,9,FALSE),0)</f>
        <v>50000</v>
      </c>
      <c r="I40" s="12">
        <f t="shared" si="0"/>
        <v>1200000</v>
      </c>
      <c r="J40" s="12">
        <f>IFERROR(VLOOKUP(A40,Attendance!$A$4:$G$53,4,FALSE),0)</f>
        <v>1</v>
      </c>
      <c r="K40" s="12">
        <f t="shared" si="1"/>
        <v>0</v>
      </c>
      <c r="L40" s="12">
        <f>IFERROR(VLOOKUP(A40,Attendance!$A$4:$G$53,7,FALSE),0)</f>
        <v>100000</v>
      </c>
      <c r="M40" s="12">
        <f t="shared" si="2"/>
        <v>7750000</v>
      </c>
      <c r="N40" s="12">
        <f t="shared" si="3"/>
        <v>7650000</v>
      </c>
      <c r="O40" s="11" t="str">
        <f t="shared" si="4"/>
        <v>OK</v>
      </c>
      <c r="P40" s="11" t="str">
        <f t="shared" si="5"/>
        <v>Ready for review</v>
      </c>
    </row>
    <row r="41" spans="1:16">
      <c r="A41" s="2" t="s">
        <v>98</v>
      </c>
      <c r="B41" s="11" t="str">
        <f>IFERROR(VLOOKUP(A41,Employee_Master!$A$4:$B$53,2,FALSE),"ID NOT FOUND")</f>
        <v>Aldi Firmansyah</v>
      </c>
      <c r="C41" s="11" t="str">
        <f>VLOOKUP(A41,Employee_Master!$A$4:$C$53,3,FALSE)</f>
        <v>Production</v>
      </c>
      <c r="D41" s="11" t="str">
        <f>VLOOKUP(A41,Employee_Master!$A$4:$F$53,6,FALSE)</f>
        <v>Active</v>
      </c>
      <c r="E41" s="12">
        <f>IFERROR(VLOOKUP(A41,Employee_Master!$A$4:$I$53,7,FALSE),0)</f>
        <v>5400000</v>
      </c>
      <c r="F41" s="12">
        <f>IFERROR(VLOOKUP(A41,Employee_Master!$A$4:$I$53,8,FALSE),0)</f>
        <v>350000</v>
      </c>
      <c r="G41" s="12">
        <f>VLOOKUP(A41,Attendance!A40:G40,6,FALSE)</f>
        <v>27</v>
      </c>
      <c r="H41" s="12">
        <f>IFERROR(VLOOKUP(A41,Employee_Master!$A$4:$I$53,9,FALSE),0)</f>
        <v>45000</v>
      </c>
      <c r="I41" s="12">
        <f t="shared" si="0"/>
        <v>1215000</v>
      </c>
      <c r="J41" s="12">
        <f>IFERROR(VLOOKUP(A41,Attendance!$A$4:$G$53,4,FALSE),0)</f>
        <v>0</v>
      </c>
      <c r="K41" s="12">
        <f t="shared" si="1"/>
        <v>250000</v>
      </c>
      <c r="L41" s="12">
        <f>IFERROR(VLOOKUP(A41,Attendance!$A$4:$G$53,7,FALSE),0)</f>
        <v>25000</v>
      </c>
      <c r="M41" s="12">
        <f t="shared" si="2"/>
        <v>7215000</v>
      </c>
      <c r="N41" s="12">
        <f t="shared" si="3"/>
        <v>7190000</v>
      </c>
      <c r="O41" s="11" t="str">
        <f t="shared" si="4"/>
        <v>OK</v>
      </c>
      <c r="P41" s="11" t="str">
        <f t="shared" si="5"/>
        <v>Ready for review</v>
      </c>
    </row>
    <row r="42" spans="1:16">
      <c r="A42" s="2" t="s">
        <v>100</v>
      </c>
      <c r="B42" s="11" t="str">
        <f>IFERROR(VLOOKUP(A42,Employee_Master!$A$4:$B$53,2,FALSE),"ID NOT FOUND")</f>
        <v>Rara Amelia</v>
      </c>
      <c r="C42" s="11" t="str">
        <f>VLOOKUP(A42,Employee_Master!$A$4:$C$53,3,FALSE)</f>
        <v>Quality Control</v>
      </c>
      <c r="D42" s="11" t="str">
        <f>VLOOKUP(A42,Employee_Master!$A$4:$F$53,6,FALSE)</f>
        <v>Active</v>
      </c>
      <c r="E42" s="12">
        <f>IFERROR(VLOOKUP(A42,Employee_Master!$A$4:$I$53,7,FALSE),0)</f>
        <v>6200000</v>
      </c>
      <c r="F42" s="12">
        <f>IFERROR(VLOOKUP(A42,Employee_Master!$A$4:$I$53,8,FALSE),0)</f>
        <v>450000</v>
      </c>
      <c r="G42" s="12">
        <f>VLOOKUP(A42,Attendance!A41:G41,6,FALSE)</f>
        <v>2</v>
      </c>
      <c r="H42" s="12">
        <f>IFERROR(VLOOKUP(A42,Employee_Master!$A$4:$I$53,9,FALSE),0)</f>
        <v>50000</v>
      </c>
      <c r="I42" s="12">
        <f t="shared" si="0"/>
        <v>100000</v>
      </c>
      <c r="J42" s="12">
        <f>IFERROR(VLOOKUP(A42,Attendance!$A$4:$G$53,4,FALSE),0)</f>
        <v>0</v>
      </c>
      <c r="K42" s="12">
        <f t="shared" si="1"/>
        <v>250000</v>
      </c>
      <c r="L42" s="12">
        <f>IFERROR(VLOOKUP(A42,Attendance!$A$4:$G$53,7,FALSE),0)</f>
        <v>50000</v>
      </c>
      <c r="M42" s="12">
        <f t="shared" si="2"/>
        <v>7000000</v>
      </c>
      <c r="N42" s="12">
        <f t="shared" si="3"/>
        <v>6950000</v>
      </c>
      <c r="O42" s="11" t="str">
        <f t="shared" si="4"/>
        <v>OK</v>
      </c>
      <c r="P42" s="11" t="str">
        <f t="shared" si="5"/>
        <v>Ready for review</v>
      </c>
    </row>
    <row r="43" spans="1:16">
      <c r="A43" s="2" t="s">
        <v>102</v>
      </c>
      <c r="B43" s="11" t="str">
        <f>IFERROR(VLOOKUP(A43,Employee_Master!$A$4:$B$53,2,FALSE),"ID NOT FOUND")</f>
        <v>Galih Pratama</v>
      </c>
      <c r="C43" s="11" t="str">
        <f>VLOOKUP(A43,Employee_Master!$A$4:$C$53,3,FALSE)</f>
        <v>Warehouse</v>
      </c>
      <c r="D43" s="11" t="str">
        <f>VLOOKUP(A43,Employee_Master!$A$4:$F$53,6,FALSE)</f>
        <v>Active</v>
      </c>
      <c r="E43" s="12">
        <f>IFERROR(VLOOKUP(A43,Employee_Master!$A$4:$I$53,7,FALSE),0)</f>
        <v>5700000</v>
      </c>
      <c r="F43" s="12">
        <f>IFERROR(VLOOKUP(A43,Employee_Master!$A$4:$I$53,8,FALSE),0)</f>
        <v>350000</v>
      </c>
      <c r="G43" s="12">
        <f>VLOOKUP(A43,Attendance!A42:G42,6,FALSE)</f>
        <v>5</v>
      </c>
      <c r="H43" s="12">
        <f>IFERROR(VLOOKUP(A43,Employee_Master!$A$4:$I$53,9,FALSE),0)</f>
        <v>45000</v>
      </c>
      <c r="I43" s="12">
        <f t="shared" si="0"/>
        <v>225000</v>
      </c>
      <c r="J43" s="12">
        <f>IFERROR(VLOOKUP(A43,Attendance!$A$4:$G$53,4,FALSE),0)</f>
        <v>0</v>
      </c>
      <c r="K43" s="12">
        <f t="shared" si="1"/>
        <v>250000</v>
      </c>
      <c r="L43" s="12">
        <f>IFERROR(VLOOKUP(A43,Attendance!$A$4:$G$53,7,FALSE),0)</f>
        <v>75000</v>
      </c>
      <c r="M43" s="12">
        <f t="shared" si="2"/>
        <v>6525000</v>
      </c>
      <c r="N43" s="12">
        <f t="shared" si="3"/>
        <v>6450000</v>
      </c>
      <c r="O43" s="11" t="str">
        <f t="shared" si="4"/>
        <v>OK</v>
      </c>
      <c r="P43" s="11" t="str">
        <f t="shared" si="5"/>
        <v>Ready for review</v>
      </c>
    </row>
    <row r="44" spans="1:16">
      <c r="A44" s="2" t="s">
        <v>104</v>
      </c>
      <c r="B44" s="11" t="str">
        <f>IFERROR(VLOOKUP(A44,Employee_Master!$A$4:$B$53,2,FALSE),"ID NOT FOUND")</f>
        <v>Lusi Anggraeni</v>
      </c>
      <c r="C44" s="11" t="str">
        <f>VLOOKUP(A44,Employee_Master!$A$4:$C$53,3,FALSE)</f>
        <v>Engineering</v>
      </c>
      <c r="D44" s="11" t="str">
        <f>VLOOKUP(A44,Employee_Master!$A$4:$F$53,6,FALSE)</f>
        <v>Active</v>
      </c>
      <c r="E44" s="12">
        <f>IFERROR(VLOOKUP(A44,Employee_Master!$A$4:$I$53,7,FALSE),0)</f>
        <v>6200000</v>
      </c>
      <c r="F44" s="12">
        <f>IFERROR(VLOOKUP(A44,Employee_Master!$A$4:$I$53,8,FALSE),0)</f>
        <v>500000</v>
      </c>
      <c r="G44" s="12">
        <f>VLOOKUP(A44,Attendance!A43:G43,6,FALSE)</f>
        <v>8</v>
      </c>
      <c r="H44" s="12">
        <f>IFERROR(VLOOKUP(A44,Employee_Master!$A$4:$I$53,9,FALSE),0)</f>
        <v>55000</v>
      </c>
      <c r="I44" s="12">
        <f t="shared" si="0"/>
        <v>440000</v>
      </c>
      <c r="J44" s="12">
        <f>IFERROR(VLOOKUP(A44,Attendance!$A$4:$G$53,4,FALSE),0)</f>
        <v>1</v>
      </c>
      <c r="K44" s="12">
        <f t="shared" si="1"/>
        <v>0</v>
      </c>
      <c r="L44" s="12">
        <f>IFERROR(VLOOKUP(A44,Attendance!$A$4:$G$53,7,FALSE),0)</f>
        <v>100000</v>
      </c>
      <c r="M44" s="12">
        <f t="shared" si="2"/>
        <v>7140000</v>
      </c>
      <c r="N44" s="12">
        <f t="shared" si="3"/>
        <v>7040000</v>
      </c>
      <c r="O44" s="11" t="str">
        <f t="shared" si="4"/>
        <v>OK</v>
      </c>
      <c r="P44" s="11" t="str">
        <f t="shared" si="5"/>
        <v>Ready for review</v>
      </c>
    </row>
    <row r="45" spans="1:16">
      <c r="A45" s="2" t="s">
        <v>106</v>
      </c>
      <c r="B45" s="11" t="str">
        <f>IFERROR(VLOOKUP(A45,Employee_Master!$A$4:$B$53,2,FALSE),"ID NOT FOUND")</f>
        <v>Taufik Hidayat</v>
      </c>
      <c r="C45" s="11" t="str">
        <f>VLOOKUP(A45,Employee_Master!$A$4:$C$53,3,FALSE)</f>
        <v>Finance</v>
      </c>
      <c r="D45" s="11" t="str">
        <f>VLOOKUP(A45,Employee_Master!$A$4:$F$53,6,FALSE)</f>
        <v>Active</v>
      </c>
      <c r="E45" s="12">
        <f>IFERROR(VLOOKUP(A45,Employee_Master!$A$4:$I$53,7,FALSE),0)</f>
        <v>6200000</v>
      </c>
      <c r="F45" s="12">
        <f>IFERROR(VLOOKUP(A45,Employee_Master!$A$4:$I$53,8,FALSE),0)</f>
        <v>450000</v>
      </c>
      <c r="G45" s="12">
        <f>VLOOKUP(A45,Attendance!A44:G44,6,FALSE)</f>
        <v>11</v>
      </c>
      <c r="H45" s="12">
        <f>IFERROR(VLOOKUP(A45,Employee_Master!$A$4:$I$53,9,FALSE),0)</f>
        <v>50000</v>
      </c>
      <c r="I45" s="12">
        <f t="shared" si="0"/>
        <v>550000</v>
      </c>
      <c r="J45" s="12">
        <f>IFERROR(VLOOKUP(A45,Attendance!$A$4:$G$53,4,FALSE),0)</f>
        <v>0</v>
      </c>
      <c r="K45" s="12">
        <f t="shared" si="1"/>
        <v>250000</v>
      </c>
      <c r="L45" s="12">
        <f>IFERROR(VLOOKUP(A45,Attendance!$A$4:$G$53,7,FALSE),0)</f>
        <v>25000</v>
      </c>
      <c r="M45" s="12">
        <f t="shared" si="2"/>
        <v>7450000</v>
      </c>
      <c r="N45" s="12">
        <f t="shared" si="3"/>
        <v>7425000</v>
      </c>
      <c r="O45" s="11" t="str">
        <f t="shared" si="4"/>
        <v>OK</v>
      </c>
      <c r="P45" s="11" t="str">
        <f t="shared" si="5"/>
        <v>Ready for review</v>
      </c>
    </row>
    <row r="46" spans="1:16">
      <c r="A46" s="2" t="s">
        <v>108</v>
      </c>
      <c r="B46" s="11" t="str">
        <f>IFERROR(VLOOKUP(A46,Employee_Master!$A$4:$B$53,2,FALSE),"ID NOT FOUND")</f>
        <v>Dinda Larasati</v>
      </c>
      <c r="C46" s="11" t="str">
        <f>VLOOKUP(A46,Employee_Master!$A$4:$C$53,3,FALSE)</f>
        <v>HR</v>
      </c>
      <c r="D46" s="11" t="str">
        <f>VLOOKUP(A46,Employee_Master!$A$4:$F$53,6,FALSE)</f>
        <v>Active</v>
      </c>
      <c r="E46" s="12">
        <f>IFERROR(VLOOKUP(A46,Employee_Master!$A$4:$I$53,7,FALSE),0)</f>
        <v>6200000</v>
      </c>
      <c r="F46" s="12">
        <f>IFERROR(VLOOKUP(A46,Employee_Master!$A$4:$I$53,8,FALSE),0)</f>
        <v>450000</v>
      </c>
      <c r="G46" s="12">
        <f>VLOOKUP(A46,Attendance!A45:G45,6,FALSE)</f>
        <v>14</v>
      </c>
      <c r="H46" s="12">
        <f>IFERROR(VLOOKUP(A46,Employee_Master!$A$4:$I$53,9,FALSE),0)</f>
        <v>50000</v>
      </c>
      <c r="I46" s="12">
        <f t="shared" si="0"/>
        <v>700000</v>
      </c>
      <c r="J46" s="12">
        <f>IFERROR(VLOOKUP(A46,Attendance!$A$4:$G$53,4,FALSE),0)</f>
        <v>0</v>
      </c>
      <c r="K46" s="12">
        <f t="shared" si="1"/>
        <v>250000</v>
      </c>
      <c r="L46" s="12">
        <f>IFERROR(VLOOKUP(A46,Attendance!$A$4:$G$53,7,FALSE),0)</f>
        <v>50000</v>
      </c>
      <c r="M46" s="12">
        <f t="shared" si="2"/>
        <v>7600000</v>
      </c>
      <c r="N46" s="12">
        <f t="shared" si="3"/>
        <v>7550000</v>
      </c>
      <c r="O46" s="11" t="str">
        <f t="shared" si="4"/>
        <v>OK</v>
      </c>
      <c r="P46" s="11" t="str">
        <f t="shared" si="5"/>
        <v>Ready for review</v>
      </c>
    </row>
    <row r="47" spans="1:16">
      <c r="A47" s="2" t="s">
        <v>110</v>
      </c>
      <c r="B47" s="11" t="str">
        <f>IFERROR(VLOOKUP(A47,Employee_Master!$A$4:$B$53,2,FALSE),"ID NOT FOUND")</f>
        <v>Rama Kurnia</v>
      </c>
      <c r="C47" s="11" t="str">
        <f>VLOOKUP(A47,Employee_Master!$A$4:$C$53,3,FALSE)</f>
        <v>Production</v>
      </c>
      <c r="D47" s="11" t="str">
        <f>VLOOKUP(A47,Employee_Master!$A$4:$F$53,6,FALSE)</f>
        <v>Active</v>
      </c>
      <c r="E47" s="12">
        <f>IFERROR(VLOOKUP(A47,Employee_Master!$A$4:$I$53,7,FALSE),0)</f>
        <v>5500000</v>
      </c>
      <c r="F47" s="12">
        <f>IFERROR(VLOOKUP(A47,Employee_Master!$A$4:$I$53,8,FALSE),0)</f>
        <v>350000</v>
      </c>
      <c r="G47" s="12">
        <f>VLOOKUP(A47,Attendance!A46:G46,6,FALSE)</f>
        <v>17</v>
      </c>
      <c r="H47" s="12">
        <f>IFERROR(VLOOKUP(A47,Employee_Master!$A$4:$I$53,9,FALSE),0)</f>
        <v>45000</v>
      </c>
      <c r="I47" s="12">
        <f t="shared" si="0"/>
        <v>765000</v>
      </c>
      <c r="J47" s="12">
        <f>IFERROR(VLOOKUP(A47,Attendance!$A$4:$G$53,4,FALSE),0)</f>
        <v>0</v>
      </c>
      <c r="K47" s="12">
        <f t="shared" si="1"/>
        <v>250000</v>
      </c>
      <c r="L47" s="12">
        <f>IFERROR(VLOOKUP(A47,Attendance!$A$4:$G$53,7,FALSE),0)</f>
        <v>75000</v>
      </c>
      <c r="M47" s="12">
        <f t="shared" si="2"/>
        <v>6865000</v>
      </c>
      <c r="N47" s="12">
        <f t="shared" si="3"/>
        <v>6790000</v>
      </c>
      <c r="O47" s="11" t="str">
        <f t="shared" si="4"/>
        <v>OK</v>
      </c>
      <c r="P47" s="11" t="str">
        <f t="shared" si="5"/>
        <v>Ready for review</v>
      </c>
    </row>
    <row r="48" spans="1:16">
      <c r="A48" s="2" t="s">
        <v>112</v>
      </c>
      <c r="B48" s="11" t="str">
        <f>IFERROR(VLOOKUP(A48,Employee_Master!$A$4:$B$53,2,FALSE),"ID NOT FOUND")</f>
        <v>Anisa Putri</v>
      </c>
      <c r="C48" s="11" t="str">
        <f>VLOOKUP(A48,Employee_Master!$A$4:$C$53,3,FALSE)</f>
        <v>Quality Control</v>
      </c>
      <c r="D48" s="11" t="str">
        <f>VLOOKUP(A48,Employee_Master!$A$4:$F$53,6,FALSE)</f>
        <v>Active</v>
      </c>
      <c r="E48" s="12">
        <f>IFERROR(VLOOKUP(A48,Employee_Master!$A$4:$I$53,7,FALSE),0)</f>
        <v>6300000</v>
      </c>
      <c r="F48" s="12">
        <f>IFERROR(VLOOKUP(A48,Employee_Master!$A$4:$I$53,8,FALSE),0)</f>
        <v>450000</v>
      </c>
      <c r="G48" s="12">
        <f>VLOOKUP(A48,Attendance!A47:G47,6,FALSE)</f>
        <v>20</v>
      </c>
      <c r="H48" s="12">
        <f>IFERROR(VLOOKUP(A48,Employee_Master!$A$4:$I$53,9,FALSE),0)</f>
        <v>50000</v>
      </c>
      <c r="I48" s="12">
        <f t="shared" si="0"/>
        <v>1000000</v>
      </c>
      <c r="J48" s="12">
        <f>IFERROR(VLOOKUP(A48,Attendance!$A$4:$G$53,4,FALSE),0)</f>
        <v>1</v>
      </c>
      <c r="K48" s="12">
        <f t="shared" si="1"/>
        <v>0</v>
      </c>
      <c r="L48" s="12">
        <f>IFERROR(VLOOKUP(A48,Attendance!$A$4:$G$53,7,FALSE),0)</f>
        <v>100000</v>
      </c>
      <c r="M48" s="12">
        <f t="shared" si="2"/>
        <v>7750000</v>
      </c>
      <c r="N48" s="12">
        <f t="shared" si="3"/>
        <v>7650000</v>
      </c>
      <c r="O48" s="11" t="str">
        <f t="shared" si="4"/>
        <v>OK</v>
      </c>
      <c r="P48" s="11" t="str">
        <f t="shared" si="5"/>
        <v>Ready for review</v>
      </c>
    </row>
    <row r="49" spans="1:16">
      <c r="A49" s="2" t="s">
        <v>114</v>
      </c>
      <c r="B49" s="11" t="str">
        <f>IFERROR(VLOOKUP(A49,Employee_Master!$A$4:$B$53,2,FALSE),"ID NOT FOUND")</f>
        <v>Dedi Irawan</v>
      </c>
      <c r="C49" s="11" t="str">
        <f>VLOOKUP(A49,Employee_Master!$A$4:$C$53,3,FALSE)</f>
        <v>Warehouse</v>
      </c>
      <c r="D49" s="11" t="str">
        <f>VLOOKUP(A49,Employee_Master!$A$4:$F$53,6,FALSE)</f>
        <v>Active</v>
      </c>
      <c r="E49" s="12">
        <f>IFERROR(VLOOKUP(A49,Employee_Master!$A$4:$I$53,7,FALSE),0)</f>
        <v>5300000</v>
      </c>
      <c r="F49" s="12">
        <f>IFERROR(VLOOKUP(A49,Employee_Master!$A$4:$I$53,8,FALSE),0)</f>
        <v>350000</v>
      </c>
      <c r="G49" s="12">
        <f>VLOOKUP(A49,Attendance!A48:G48,6,FALSE)</f>
        <v>23</v>
      </c>
      <c r="H49" s="12">
        <f>IFERROR(VLOOKUP(A49,Employee_Master!$A$4:$I$53,9,FALSE),0)</f>
        <v>45000</v>
      </c>
      <c r="I49" s="12">
        <f t="shared" si="0"/>
        <v>1035000</v>
      </c>
      <c r="J49" s="12">
        <f>IFERROR(VLOOKUP(A49,Attendance!$A$4:$G$53,4,FALSE),0)</f>
        <v>0</v>
      </c>
      <c r="K49" s="12">
        <f t="shared" si="1"/>
        <v>250000</v>
      </c>
      <c r="L49" s="12">
        <f>IFERROR(VLOOKUP(A49,Attendance!$A$4:$G$53,7,FALSE),0)</f>
        <v>25000</v>
      </c>
      <c r="M49" s="12">
        <f t="shared" si="2"/>
        <v>6935000</v>
      </c>
      <c r="N49" s="12">
        <f t="shared" si="3"/>
        <v>6910000</v>
      </c>
      <c r="O49" s="11" t="str">
        <f t="shared" si="4"/>
        <v>OK</v>
      </c>
      <c r="P49" s="11" t="str">
        <f t="shared" si="5"/>
        <v>Ready for review</v>
      </c>
    </row>
    <row r="50" spans="1:16">
      <c r="A50" s="2" t="s">
        <v>116</v>
      </c>
      <c r="B50" s="11" t="str">
        <f>IFERROR(VLOOKUP(A50,Employee_Master!$A$4:$B$53,2,FALSE),"ID NOT FOUND")</f>
        <v>Yuni Kartika</v>
      </c>
      <c r="C50" s="11" t="str">
        <f>VLOOKUP(A50,Employee_Master!$A$4:$C$53,3,FALSE)</f>
        <v>Engineering</v>
      </c>
      <c r="D50" s="11" t="str">
        <f>VLOOKUP(A50,Employee_Master!$A$4:$F$53,6,FALSE)</f>
        <v>Active</v>
      </c>
      <c r="E50" s="12">
        <f>IFERROR(VLOOKUP(A50,Employee_Master!$A$4:$I$53,7,FALSE),0)</f>
        <v>6300000</v>
      </c>
      <c r="F50" s="12">
        <f>IFERROR(VLOOKUP(A50,Employee_Master!$A$4:$I$53,8,FALSE),0)</f>
        <v>500000</v>
      </c>
      <c r="G50" s="12">
        <f>VLOOKUP(A50,Attendance!A49:G49,6,FALSE)</f>
        <v>26</v>
      </c>
      <c r="H50" s="12">
        <f>IFERROR(VLOOKUP(A50,Employee_Master!$A$4:$I$53,9,FALSE),0)</f>
        <v>55000</v>
      </c>
      <c r="I50" s="12">
        <f t="shared" si="0"/>
        <v>1430000</v>
      </c>
      <c r="J50" s="12">
        <f>IFERROR(VLOOKUP(A50,Attendance!$A$4:$G$53,4,FALSE),0)</f>
        <v>0</v>
      </c>
      <c r="K50" s="12">
        <f t="shared" si="1"/>
        <v>250000</v>
      </c>
      <c r="L50" s="12">
        <f>IFERROR(VLOOKUP(A50,Attendance!$A$4:$G$53,7,FALSE),0)</f>
        <v>50000</v>
      </c>
      <c r="M50" s="12">
        <f t="shared" si="2"/>
        <v>8480000</v>
      </c>
      <c r="N50" s="12">
        <f t="shared" si="3"/>
        <v>8430000</v>
      </c>
      <c r="O50" s="11" t="str">
        <f t="shared" si="4"/>
        <v>OK</v>
      </c>
      <c r="P50" s="11" t="str">
        <f t="shared" si="5"/>
        <v>Ready for review</v>
      </c>
    </row>
    <row r="51" spans="1:16">
      <c r="A51" s="2" t="s">
        <v>118</v>
      </c>
      <c r="B51" s="11" t="str">
        <f>IFERROR(VLOOKUP(A51,Employee_Master!$A$4:$B$53,2,FALSE),"ID NOT FOUND")</f>
        <v>Farhan Akbar</v>
      </c>
      <c r="C51" s="11" t="str">
        <f>VLOOKUP(A51,Employee_Master!$A$4:$C$53,3,FALSE)</f>
        <v>Finance</v>
      </c>
      <c r="D51" s="11" t="str">
        <f>VLOOKUP(A51,Employee_Master!$A$4:$F$53,6,FALSE)</f>
        <v>Active</v>
      </c>
      <c r="E51" s="12">
        <f>IFERROR(VLOOKUP(A51,Employee_Master!$A$4:$I$53,7,FALSE),0)</f>
        <v>6300000</v>
      </c>
      <c r="F51" s="12">
        <f>IFERROR(VLOOKUP(A51,Employee_Master!$A$4:$I$53,8,FALSE),0)</f>
        <v>450000</v>
      </c>
      <c r="G51" s="12">
        <f>VLOOKUP(A51,Attendance!A50:G50,6,FALSE)</f>
        <v>1</v>
      </c>
      <c r="H51" s="12">
        <f>IFERROR(VLOOKUP(A51,Employee_Master!$A$4:$I$53,9,FALSE),0)</f>
        <v>50000</v>
      </c>
      <c r="I51" s="12">
        <f t="shared" si="0"/>
        <v>50000</v>
      </c>
      <c r="J51" s="12">
        <f>IFERROR(VLOOKUP(A51,Attendance!$A$4:$G$53,4,FALSE),0)</f>
        <v>0</v>
      </c>
      <c r="K51" s="12">
        <f t="shared" si="1"/>
        <v>250000</v>
      </c>
      <c r="L51" s="12">
        <f>IFERROR(VLOOKUP(A51,Attendance!$A$4:$G$53,7,FALSE),0)</f>
        <v>75000</v>
      </c>
      <c r="M51" s="12">
        <f t="shared" si="2"/>
        <v>7050000</v>
      </c>
      <c r="N51" s="12">
        <f t="shared" si="3"/>
        <v>6975000</v>
      </c>
      <c r="O51" s="11" t="str">
        <f t="shared" si="4"/>
        <v>OK</v>
      </c>
      <c r="P51" s="11" t="str">
        <f t="shared" si="5"/>
        <v>Ready for review</v>
      </c>
    </row>
    <row r="52" spans="1:16">
      <c r="A52" s="2" t="s">
        <v>120</v>
      </c>
      <c r="B52" s="11" t="str">
        <f>IFERROR(VLOOKUP(A52,Employee_Master!$A$4:$B$53,2,FALSE),"ID NOT FOUND")</f>
        <v>Mega Sari</v>
      </c>
      <c r="C52" s="11" t="str">
        <f>VLOOKUP(A52,Employee_Master!$A$4:$C$53,3,FALSE)</f>
        <v>HR</v>
      </c>
      <c r="D52" s="11" t="str">
        <f>VLOOKUP(A52,Employee_Master!$A$4:$F$53,6,FALSE)</f>
        <v>Active</v>
      </c>
      <c r="E52" s="12">
        <f>IFERROR(VLOOKUP(A52,Employee_Master!$A$4:$I$53,7,FALSE),0)</f>
        <v>6300000</v>
      </c>
      <c r="F52" s="12">
        <f>IFERROR(VLOOKUP(A52,Employee_Master!$A$4:$I$53,8,FALSE),0)</f>
        <v>450000</v>
      </c>
      <c r="G52" s="12">
        <f>VLOOKUP(A52,Attendance!A51:G51,6,FALSE)</f>
        <v>4</v>
      </c>
      <c r="H52" s="12">
        <f>IFERROR(VLOOKUP(A52,Employee_Master!$A$4:$I$53,9,FALSE),0)</f>
        <v>50000</v>
      </c>
      <c r="I52" s="12">
        <f t="shared" si="0"/>
        <v>200000</v>
      </c>
      <c r="J52" s="12">
        <f>IFERROR(VLOOKUP(A52,Attendance!$A$4:$G$53,4,FALSE),0)</f>
        <v>1</v>
      </c>
      <c r="K52" s="12">
        <f t="shared" si="1"/>
        <v>0</v>
      </c>
      <c r="L52" s="12">
        <f>IFERROR(VLOOKUP(A52,Attendance!$A$4:$G$53,7,FALSE),0)</f>
        <v>100000</v>
      </c>
      <c r="M52" s="12">
        <f t="shared" si="2"/>
        <v>6950000</v>
      </c>
      <c r="N52" s="12">
        <f t="shared" si="3"/>
        <v>6850000</v>
      </c>
      <c r="O52" s="11" t="str">
        <f t="shared" si="4"/>
        <v>OK</v>
      </c>
      <c r="P52" s="11" t="str">
        <f t="shared" si="5"/>
        <v>Ready for review</v>
      </c>
    </row>
    <row r="53" spans="1:16">
      <c r="A53" s="2" t="s">
        <v>122</v>
      </c>
      <c r="B53" s="11" t="str">
        <f>IFERROR(VLOOKUP(A53,Employee_Master!$A$4:$B$53,2,FALSE),"ID NOT FOUND")</f>
        <v>Ari Nugraha</v>
      </c>
      <c r="C53" s="11" t="str">
        <f>VLOOKUP(A53,Employee_Master!$A$4:$C$53,3,FALSE)</f>
        <v>Production</v>
      </c>
      <c r="D53" s="11" t="str">
        <f>VLOOKUP(A53,Employee_Master!$A$4:$F$53,6,FALSE)</f>
        <v>Active</v>
      </c>
      <c r="E53" s="12">
        <f>IFERROR(VLOOKUP(A53,Employee_Master!$A$4:$I$53,7,FALSE),0)</f>
        <v>5600000</v>
      </c>
      <c r="F53" s="12">
        <f>IFERROR(VLOOKUP(A53,Employee_Master!$A$4:$I$53,8,FALSE),0)</f>
        <v>350000</v>
      </c>
      <c r="G53" s="12">
        <f>VLOOKUP(A53,Attendance!A52:G52,6,FALSE)</f>
        <v>7</v>
      </c>
      <c r="H53" s="12">
        <f>IFERROR(VLOOKUP(A53,Employee_Master!$A$4:$I$53,9,FALSE),0)</f>
        <v>45000</v>
      </c>
      <c r="I53" s="12">
        <f t="shared" si="0"/>
        <v>315000</v>
      </c>
      <c r="J53" s="12">
        <f>IFERROR(VLOOKUP(A53,Attendance!$A$4:$G$53,4,FALSE),0)</f>
        <v>0</v>
      </c>
      <c r="K53" s="12">
        <f t="shared" si="1"/>
        <v>250000</v>
      </c>
      <c r="L53" s="12">
        <f>IFERROR(VLOOKUP(A53,Attendance!$A$4:$G$53,7,FALSE),0)</f>
        <v>25000</v>
      </c>
      <c r="M53" s="12">
        <f t="shared" si="2"/>
        <v>6515000</v>
      </c>
      <c r="N53" s="12">
        <f t="shared" si="3"/>
        <v>6490000</v>
      </c>
      <c r="O53" s="11" t="str">
        <f t="shared" si="4"/>
        <v>OK</v>
      </c>
      <c r="P53" s="11" t="str">
        <f t="shared" si="5"/>
        <v>Ready for review</v>
      </c>
    </row>
    <row r="54" spans="1:16">
      <c r="A54" s="2" t="s">
        <v>124</v>
      </c>
      <c r="B54" s="11" t="str">
        <f>IFERROR(VLOOKUP(A54,Employee_Master!$A$4:$B$53,2,FALSE),"ID NOT FOUND")</f>
        <v>Selvi Rahma</v>
      </c>
      <c r="C54" s="11" t="str">
        <f>VLOOKUP(A54,Employee_Master!$A$4:$C$53,3,FALSE)</f>
        <v>Quality Control</v>
      </c>
      <c r="D54" s="11" t="str">
        <f>VLOOKUP(A54,Employee_Master!$A$4:$F$53,6,FALSE)</f>
        <v>Active</v>
      </c>
      <c r="E54" s="12">
        <f>IFERROR(VLOOKUP(A54,Employee_Master!$A$4:$I$53,7,FALSE),0)</f>
        <v>5900000</v>
      </c>
      <c r="F54" s="12">
        <f>IFERROR(VLOOKUP(A54,Employee_Master!$A$4:$I$53,8,FALSE),0)</f>
        <v>450000</v>
      </c>
      <c r="G54" s="12">
        <f>VLOOKUP(A54,Attendance!A53:G53,6,FALSE)</f>
        <v>10</v>
      </c>
      <c r="H54" s="12">
        <f>IFERROR(VLOOKUP(A54,Employee_Master!$A$4:$I$53,9,FALSE),0)</f>
        <v>50000</v>
      </c>
      <c r="I54" s="12">
        <f t="shared" si="0"/>
        <v>500000</v>
      </c>
      <c r="J54" s="12">
        <f>IFERROR(VLOOKUP(A54,Attendance!$A$4:$G$53,4,FALSE),0)</f>
        <v>0</v>
      </c>
      <c r="K54" s="12">
        <f t="shared" si="1"/>
        <v>250000</v>
      </c>
      <c r="L54" s="12">
        <f>IFERROR(VLOOKUP(A54,Attendance!$A$4:$G$53,7,FALSE),0)</f>
        <v>50000</v>
      </c>
      <c r="M54" s="12">
        <f t="shared" si="2"/>
        <v>7100000</v>
      </c>
      <c r="N54" s="12">
        <f t="shared" si="3"/>
        <v>7050000</v>
      </c>
      <c r="O54" s="11" t="str">
        <f t="shared" si="4"/>
        <v>OK</v>
      </c>
      <c r="P54" s="11" t="str">
        <f t="shared" si="5"/>
        <v>Ready for review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zoomScale="60" zoomScaleNormal="60" workbookViewId="0">
      <selection activeCell="C34" sqref="C34"/>
    </sheetView>
  </sheetViews>
  <sheetFormatPr defaultRowHeight="13.8"/>
  <cols>
    <col min="1" max="1" width="22" customWidth="1"/>
    <col min="2" max="8" width="18" customWidth="1"/>
  </cols>
  <sheetData>
    <row r="1" spans="1:8" ht="19.2">
      <c r="A1" s="6" t="s">
        <v>143</v>
      </c>
      <c r="B1" s="6"/>
      <c r="C1" s="6"/>
      <c r="D1" s="6"/>
      <c r="E1" s="6"/>
      <c r="F1" s="6"/>
      <c r="G1" s="6"/>
      <c r="H1" s="6"/>
    </row>
    <row r="3" spans="1:8">
      <c r="A3" s="1" t="s">
        <v>3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  <c r="G3" s="1" t="s">
        <v>149</v>
      </c>
      <c r="H3" s="1" t="s">
        <v>150</v>
      </c>
    </row>
    <row r="4" spans="1:8">
      <c r="A4" t="s">
        <v>12</v>
      </c>
      <c r="B4">
        <f>COUNTIFS(Payroll!$C$5:$C$54,A4,Payroll!$D$5:$D$54,"Active")</f>
        <v>9</v>
      </c>
      <c r="C4" s="3">
        <f>SUMIFS(Payroll!$E$5:$E$54,Payroll!$C$5:$C$54,A4)</f>
        <v>48800000</v>
      </c>
      <c r="D4" s="3">
        <f>SUMIFS(Payroll!$G$5:$G$54,Payroll!C5:C54,A4)</f>
        <v>115</v>
      </c>
      <c r="E4" s="3">
        <f>SUMIFS(Payroll!$I$5:$I$54,Payroll!$C$5:$C$54,A4)</f>
        <v>5175000</v>
      </c>
      <c r="F4" s="3">
        <f>SUMIFS(Payroll!$M$5:$M$54,Payroll!$C$5:$C$54,A4)</f>
        <v>59375000</v>
      </c>
      <c r="G4" s="3">
        <f>SUMIFS(Payroll!$N$5:$N$54,Payroll!$C$5:$C$54,A4)</f>
        <v>58950000</v>
      </c>
      <c r="H4">
        <f>COUNTIFS(Payroll!$C$5:$C$54,A4,Payroll!$O$5:$O$54,"&lt;&gt;OK")</f>
        <v>0</v>
      </c>
    </row>
    <row r="5" spans="1:8">
      <c r="A5" t="s">
        <v>18</v>
      </c>
      <c r="B5">
        <f>COUNTIFS(Payroll!$C$5:$C$54,A5,Payroll!$D$5:$D$54,"Active")</f>
        <v>9</v>
      </c>
      <c r="C5" s="3">
        <f>SUMIFS(Payroll!$E$5:$E$54,Payroll!$C$5:$C$54,A5)</f>
        <v>55000000</v>
      </c>
      <c r="D5" s="3">
        <f>SUMIFS(Payroll!$G$5:$G$54,Payroll!C6:C55,A5)</f>
        <v>115</v>
      </c>
      <c r="E5" s="3">
        <f>SUMIFS(Payroll!$I$5:$I$54,Payroll!$C$5:$C$54,A5)</f>
        <v>7750000</v>
      </c>
      <c r="F5" s="3">
        <f>SUMIFS(Payroll!$M$5:$M$54,Payroll!$C$5:$C$54,A5)</f>
        <v>68050000</v>
      </c>
      <c r="G5" s="3">
        <f>SUMIFS(Payroll!$N$5:$N$54,Payroll!$C$5:$C$54,A5)</f>
        <v>67400000</v>
      </c>
      <c r="H5">
        <f>COUNTIFS(Payroll!$C$5:$C$54,A5,Payroll!$O$5:$O$54,"&lt;&gt;OK")</f>
        <v>1</v>
      </c>
    </row>
    <row r="6" spans="1:8">
      <c r="A6" t="s">
        <v>23</v>
      </c>
      <c r="B6">
        <f>COUNTIFS(Payroll!$C$5:$C$54,A6,Payroll!$D$5:$D$54,"Active")</f>
        <v>8</v>
      </c>
      <c r="C6" s="3">
        <f>SUMIFS(Payroll!$E$5:$E$54,Payroll!$C$5:$C$54,A6)</f>
        <v>44100000</v>
      </c>
      <c r="D6" s="3">
        <f>SUMIFS(Payroll!$G$5:$G$54,Payroll!C7:C56,A6)</f>
        <v>108</v>
      </c>
      <c r="E6" s="3">
        <f>SUMIFS(Payroll!$I$5:$I$54,Payroll!$C$5:$C$54,A6)</f>
        <v>5760000</v>
      </c>
      <c r="F6" s="3">
        <f>SUMIFS(Payroll!$M$5:$M$54,Payroll!$C$5:$C$54,A6)</f>
        <v>54660000</v>
      </c>
      <c r="G6" s="3">
        <f>SUMIFS(Payroll!$N$5:$N$54,Payroll!$C$5:$C$54,A6)</f>
        <v>54260000</v>
      </c>
      <c r="H6">
        <f>COUNTIFS(Payroll!$C$5:$C$54,A6,Payroll!$O$5:$O$54,"&lt;&gt;OK")</f>
        <v>0</v>
      </c>
    </row>
    <row r="7" spans="1:8">
      <c r="A7" t="s">
        <v>27</v>
      </c>
      <c r="B7">
        <f>COUNTIFS(Payroll!$C$5:$C$54,A7,Payroll!$D$5:$D$54,"Active")</f>
        <v>7</v>
      </c>
      <c r="C7" s="3">
        <f>SUMIFS(Payroll!$E$5:$E$54,Payroll!$C$5:$C$54,A7)</f>
        <v>51100000</v>
      </c>
      <c r="D7" s="3">
        <f>SUMIFS(Payroll!$G$5:$G$54,Payroll!C8:C57,A7)</f>
        <v>108</v>
      </c>
      <c r="E7" s="3">
        <f>SUMIFS(Payroll!$I$5:$I$54,Payroll!$C$5:$C$54,A7)</f>
        <v>4840000</v>
      </c>
      <c r="F7" s="3">
        <f>SUMIFS(Payroll!$M$5:$M$54,Payroll!$C$5:$C$54,A7)</f>
        <v>60940000</v>
      </c>
      <c r="G7" s="3">
        <f>SUMIFS(Payroll!$N$5:$N$54,Payroll!$C$5:$C$54,A7)</f>
        <v>60340000</v>
      </c>
      <c r="H7">
        <f>COUNTIFS(Payroll!$C$5:$C$54,A7,Payroll!$O$5:$O$54,"&lt;&gt;OK")</f>
        <v>1</v>
      </c>
    </row>
    <row r="8" spans="1:8">
      <c r="A8" t="s">
        <v>31</v>
      </c>
      <c r="B8">
        <f>COUNTIFS(Payroll!$C$5:$C$54,A8,Payroll!$D$5:$D$54,"Active")</f>
        <v>7</v>
      </c>
      <c r="C8" s="3">
        <f>SUMIFS(Payroll!$E$5:$E$54,Payroll!$C$5:$C$54,A8)</f>
        <v>50100000</v>
      </c>
      <c r="D8" s="3">
        <f>SUMIFS(Payroll!$G$5:$G$54,Payroll!C9:C58,A8)</f>
        <v>108</v>
      </c>
      <c r="E8" s="3">
        <f>SUMIFS(Payroll!$I$5:$I$54,Payroll!$C$5:$C$54,A8)</f>
        <v>4600000</v>
      </c>
      <c r="F8" s="3">
        <f>SUMIFS(Payroll!$M$5:$M$54,Payroll!$C$5:$C$54,A8)</f>
        <v>60050000</v>
      </c>
      <c r="G8" s="3">
        <f>SUMIFS(Payroll!$N$5:$N$54,Payroll!$C$5:$C$54,A8)</f>
        <v>59450000</v>
      </c>
      <c r="H8">
        <f>COUNTIFS(Payroll!$C$5:$C$54,A8,Payroll!$O$5:$O$54,"&lt;&gt;OK")</f>
        <v>1</v>
      </c>
    </row>
    <row r="9" spans="1:8">
      <c r="A9" t="s">
        <v>35</v>
      </c>
      <c r="B9">
        <f>COUNTIFS(Payroll!$C$5:$C$54,A9,Payroll!$D$5:$D$54,"Active")</f>
        <v>8</v>
      </c>
      <c r="C9" s="3">
        <f>SUMIFS(Payroll!$E$5:$E$54,Payroll!$C$5:$C$54,A9)</f>
        <v>49600000</v>
      </c>
      <c r="D9" s="3">
        <f>SUMIFS(Payroll!$G$5:$G$54,Payroll!C10:C59,A9)</f>
        <v>108</v>
      </c>
      <c r="E9" s="3">
        <f>SUMIFS(Payroll!$I$5:$I$54,Payroll!$C$5:$C$54,A9)</f>
        <v>5800000</v>
      </c>
      <c r="F9" s="3">
        <f>SUMIFS(Payroll!$M$5:$M$54,Payroll!$C$5:$C$54,A9)</f>
        <v>60000000</v>
      </c>
      <c r="G9" s="3">
        <f>SUMIFS(Payroll!$N$5:$N$54,Payroll!$C$5:$C$54,A9)</f>
        <v>59300000</v>
      </c>
      <c r="H9">
        <f>COUNTIFS(Payroll!$C$5:$C$54,A9,Payroll!$O$5:$O$54,"&lt;&gt;OK")</f>
        <v>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Project_Overview</vt:lpstr>
      <vt:lpstr>Employee_Master</vt:lpstr>
      <vt:lpstr>Attendance</vt:lpstr>
      <vt:lpstr>Payroll</vt:lpstr>
      <vt:lpstr>Department_Summary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oviendo ivana</cp:lastModifiedBy>
  <dcterms:modified xsi:type="dcterms:W3CDTF">2026-10-06T05:45:49Z</dcterms:modified>
</cp:coreProperties>
</file>